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dhya/Documents/NK/3. FinEdge API/1. Validation SQL's/"/>
    </mc:Choice>
  </mc:AlternateContent>
  <xr:revisionPtr revIDLastSave="0" documentId="13_ncr:1_{4CEDFC46-1723-B348-BA5B-A387FD93F15C}" xr6:coauthVersionLast="47" xr6:coauthVersionMax="47" xr10:uidLastSave="{00000000-0000-0000-0000-000000000000}"/>
  <bookViews>
    <workbookView xWindow="0" yWindow="620" windowWidth="28800" windowHeight="14920" activeTab="8" xr2:uid="{D9D53511-5A98-2642-9282-BF1452DF5936}"/>
  </bookViews>
  <sheets>
    <sheet name="Source data" sheetId="52" r:id="rId1"/>
    <sheet name="Missing Results" sheetId="51" r:id="rId2"/>
    <sheet name="Missing Rows" sheetId="39" r:id="rId3"/>
    <sheet name="Extra Rows" sheetId="43" r:id="rId4"/>
    <sheet name="High Value" sheetId="47" r:id="rId5"/>
    <sheet name="Company Profile" sheetId="45" r:id="rId6"/>
    <sheet name="Shareholding" sheetId="41" r:id="rId7"/>
    <sheet name="Price" sheetId="44" r:id="rId8"/>
    <sheet name="P&amp;L" sheetId="6" r:id="rId9"/>
    <sheet name="BS" sheetId="9" r:id="rId10"/>
    <sheet name="CF" sheetId="10" r:id="rId11"/>
    <sheet name="Segment" sheetId="40" r:id="rId12"/>
    <sheet name="EPS" sheetId="42" r:id="rId13"/>
    <sheet name="Index" sheetId="49" r:id="rId14"/>
    <sheet name="Analysis sql" sheetId="2" r:id="rId15"/>
    <sheet name="Sheet2" sheetId="5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1" l="1"/>
  <c r="D11" i="2"/>
  <c r="I3" i="44"/>
  <c r="I2" i="44"/>
  <c r="F1" i="45"/>
  <c r="F2" i="41"/>
  <c r="G2" i="51"/>
  <c r="J3" i="9"/>
</calcChain>
</file>

<file path=xl/sharedStrings.xml><?xml version="1.0" encoding="utf-8"?>
<sst xmlns="http://schemas.openxmlformats.org/spreadsheetml/2006/main" count="452" uniqueCount="338">
  <si>
    <t>id</t>
  </si>
  <si>
    <t>Sql template</t>
  </si>
  <si>
    <t>rule_desc</t>
  </si>
  <si>
    <t>select time_map from generic_data
SELECT 
    key AS stock_symbol, 
    (time_map-&gt;&gt;key)::timestamp::date AS date_value, 
    (time_map-&gt;&gt;key)::timestamp::time AS time_value, 
    cp.market_cap
FROM generic_data gd,
    LATERAL jsonb_each_text(gd.time_map) AS json_data(key, value)
JOIN company_profiles cp 
    ON json_data.key = cp.stock_symbol
ORDER BY cp.market_cap DESC;</t>
  </si>
  <si>
    <t>Shareholding data - Processed companies</t>
  </si>
  <si>
    <t>All shareholding SUM &lt;&gt; 100%</t>
  </si>
  <si>
    <t>WITH MarData AS (
    SELECT 
        stock_symbol, 
        date_header, 
        (shareholding_pattern -&gt;&gt; 'NumberOfShares')::NUMERIC / 10000000 AS shares_in_crore
    FROM 
        shareholder_summaries
    WHERE 
        date_header LIKE 'Mar %'
),
RankedMarData AS (
    SELECT 
        stock_symbol, 
        date_header, 
        shares_in_crore,
        LAG(shares_in_crore) OVER (PARTITION BY stock_symbol ORDER BY date_header ASC) AS prev_shares,
        LAG(date_header) OVER (PARTITION BY stock_symbol ORDER BY date_header ASC) AS prev_date_header
    FROM 
        MarData
),
FilteredData AS (
    SELECT 
        stock_symbol, 
        jsonb_build_object(
            'current_date_header', date_header,
            'prev_date_header', prev_date_header,
            'current_shares_crore', ROUND(shares_in_crore, 2),
            'previous_shares_crore', ROUND(prev_shares, 2),
            'percent_increase', ROUND(((shares_in_crore - prev_shares) / prev_shares) * 100, 2)
        ) AS quarter_data
    FROM 
        RankedMarData
    WHERE 
        prev_shares IS NOT NULL
        AND ((shares_in_crore - prev_shares) / prev_shares) * 100 &gt; 5
),
AggregatedData AS (
    SELECT 
        stock_symbol, 
        jsonb_agg(quarter_data) AS yearly_details
    FROM 
        FilteredData
    GROUP BY 
        stock_symbol
),
ExtractedSymbols AS (
    SELECT 
        jsonb_object_keys(time_map) AS stock_symbol, 
        (time_map -&gt;&gt; jsonb_object_keys(time_map))::TEXT AS timestamp
    FROM 
        generic_data
)
SELECT 
    a.stock_symbol, 
    a.yearly_details, 
    e.timestamp AS stock_timestamp
FROM 
    AggregatedData a
JOIN 
    ExtractedSymbols e ON a.stock_symbol = e.stock_symbol;</t>
  </si>
  <si>
    <t xml:space="preserve">High % increase in shares across the year. 
This is for each year. </t>
  </si>
  <si>
    <t>template</t>
  </si>
  <si>
    <t>SELECT 
  stock_symbol, 
  date_header,
  ROUND(COALESCE((axis_summaries::json -&gt; 'ShareholdingOfPromoterAndPromoterGroup' -&gt; 'aggregates' -&gt;&gt; 'ShareholdingAsAPercentageOfTotalNumberOfShares')::numeric, 0), 2) AS promoter_shareholding_percentage,
  ROUND(COALESCE((axis_summaries::json -&gt; 'PublicShareholding' -&gt; 'aggregates' -&gt;&gt; 'ShareholdingAsAPercentageOfTotalNumberOfShares')::numeric, 0), 2) AS public_shareholding_percentage,
  ROUND(
    (COALESCE((axis_summaries::json -&gt; 'ShareholdingOfPromoterAndPromoterGroup' -&gt; 'aggregates' -&gt;&gt; 'ShareholdingAsAPercentageOfTotalNumberOfShares')::numeric, 0) +
     COALESCE((axis_summaries::json -&gt; 'PublicShareholding' -&gt; 'aggregates' -&gt;&gt; 'ShareholdingAsAPercentageOfTotalNumberOfShares')::numeric, 0)), 
    2
  ) AS total_shareholding_percentage,
  ROUND((COALESCE((shareholding_pattern::json -&gt;&gt; 'NumberOfShares')::numeric, 0) / 10000000), 2) AS number_of_shares_in_crore,
  COALESCE((shareholding_pattern::json -&gt;&gt; 'NumberOfShareholders')::numeric, 0) AS number_of_shareholders,
  ROUND(COALESCE((axis_summaries::json -&gt; 'ShareholdingOfPromoterAndPromoterGroup' -&gt; 'Indian' -&gt; 'aggregates' -&gt;&gt; 'ShareholdingAsAPercentageOfTotalNumberOfShares')::numeric, 0), 2) AS indian,
  ROUND(COALESCE((axis_summaries::json -&gt; 'ShareholdingOfPromoterAndPromoterGroup' -&gt; 'Foreign' -&gt; 'aggregates' -&gt;&gt; 'ShareholdingAsAPercentageOfTotalNumberOfShares')::numeric, 0), 2) AS foreign,
  ROUND(COALESCE((axis_summaries::json -&gt; 'PublicShareholding' -&gt; 'InstitutionsDomestic' -&gt; 'aggregates' -&gt;&gt; 'ShareholdingAsAPercentageOfTotalNumberOfShares')::numeric, 0), 2) AS institutions_domestic,
  ROUND(COALESCE((axis_summaries::json -&gt; 'PublicShareholding' -&gt; 'InstitutionsForeign' -&gt; 'aggregates' -&gt;&gt; 'ShareholdingAsAPercentageOfTotalNumberOfShares')::numeric, 0), 2) AS institutions_foreign,
  ROUND(COALESCE((axis_summaries::json -&gt; 'PublicShareholding' -&gt; 'Goverments' -&gt; 'aggregates' -&gt;&gt; 'ShareholdingAsAPercentageOfTotalNumberOfShares')::numeric, 0), 2) AS govt,
  ROUND(COALESCE((axis_summaries::json -&gt; 'PublicShareholding' -&gt; 'NonInstitutions' -&gt; 'aggregates' -&gt;&gt; 'ShareholdingAsAPercentageOfTotalNumberOfShares')::numeric, 0), 2) AS non_institutions,
  ROUND(COALESCE((axis_summaries::json -&gt; 'SharesHeldByNonPromoterNonPublicShareholders' -&gt; 'SharesHeldByNonPromoterNonPublicShareholders' -&gt; 'aggregates' -&gt;&gt; 'ShareholdingAsAPercentageOfTotalNumberOfShares')::numeric, 0), 2) AS non_promoter_institutions,
  ROUND(
    (
      COALESCE((axis_summaries::json -&gt; 'ShareholdingOfPromoterAndPromoterGroup' -&gt; 'Indian' -&gt; 'aggregates' -&gt;&gt; 'ShareholdingAsAPercentageOfTotalNumberOfShares')::numeric, 0) +
      COALESCE((axis_summaries::json -&gt; 'ShareholdingOfPromoterAndPromoterGroup' -&gt; 'Foreign' -&gt; 'aggregates' -&gt;&gt; 'ShareholdingAsAPercentageOfTotalNumberOfShares')::numeric, 0) +
      COALESCE((axis_summaries::json -&gt; 'PublicShareholding' -&gt; 'InstitutionsDomestic' -&gt; 'aggregates' -&gt;&gt; 'ShareholdingAsAPercentageOfTotalNumberOfShares')::numeric, 0) +
      COALESCE((axis_summaries::json -&gt; 'PublicShareholding' -&gt; 'InstitutionsForeign' -&gt; 'aggregates' -&gt;&gt; 'ShareholdingAsAPercentageOfTotalNumberOfShares')::numeric, 0) +
      COALESCE((axis_summaries::json -&gt; 'PublicShareholding' -&gt; 'Goverments' -&gt; 'aggregates' -&gt;&gt; 'ShareholdingAsAPercentageOfTotalNumberOfShares')::numeric, 0) +
      COALESCE((axis_summaries::json -&gt; 'PublicShareholding' -&gt; 'NonInstitutions' -&gt; 'aggregates' -&gt;&gt; 'ShareholdingAsAPercentageOfTotalNumberOfShares')::numeric, 0) +
      COALESCE((axis_summaries::json -&gt; 'SharesHeldByNonPromoterNonPublicShareholders' -&gt; 'SharesHeldByNonPromoterNonPublicShareholders' -&gt; 'aggregates' -&gt;&gt; 'ShareholdingAsAPercentageOfTotalNumberOfShares')::numeric, 0)
    ), 
    2
  ) AS total_shareholding_breakdown
FROM public.shareholder_summaries 
WHERE stock_symbol = 'RELIANCE'  
ORDER BY to_date DESC;</t>
  </si>
  <si>
    <t>Shareholding Analysis
XBRL</t>
  </si>
  <si>
    <t>SELECT 
    shoh.stock_symbol, 
    shoh.shareholder_id, 
    sh.name,
    shoh.pct_of_ownership,
	shoh.updated_at, 
	shoh.date_header, 
    shoh.number_of_shares, 
    shoh.investment_value, 
    shoh.pct_change, 
    shoh.holdings
FROM public.share_ownership_histories shoh
JOIN public.shareholders sh 
ON shoh.shareholder_id = sh.Id
WHERE shoh.stock_symbol = 'BHAGCHEM' 
AND shoh.date_header in ('Sep 2022') 
--AND shoh.shareholder_id = '59755' 
AND shoh.pct_of_ownership &lt;&gt; '0'
ORDER BY shoh.pct_of_ownership DESC;</t>
  </si>
  <si>
    <t>Shareholding Histories</t>
  </si>
  <si>
    <t>Superinvestor Analysis</t>
  </si>
  <si>
    <t>SELECT 
    so.stock_symbol, 
    so.shareholder_id, 
    so.date_header, 
    so.number_of_shares, 
    so.investment_value, 
    so.pct_of_ownership, 
    so.pct_change, 
    so.holdings 
FROM public.share_ownerships so
WHERE so.shareholder_id = '59752' 
	AND pct_of_ownership &lt;&gt; '0'
ORDER BY so.pct_of_ownership desc</t>
  </si>
  <si>
    <t>Superinvestor Data 
Current view</t>
  </si>
  <si>
    <t>SELECT 
    shoh.stock_symbol, 
    shoh.shareholder_id, 
    sh.name,
    shoh.pct_of_ownership, 
    shoh.date_header, 
    shoh.number_of_shares, 
    shoh.investment_value, 
    shoh.pct_change, 
    shoh.holdings
FROM public.share_ownership_histories shoh
JOIN public.shareholders sh 
ON shoh.shareholder_id = sh.Id
WHERE shoh.stock_symbol = 'CRISIL' 
AND shoh.date_header in ('Sep 2024','Dec 2024','Jun 2024') 
AND shoh.pct_of_ownership &lt;&gt; '0'
AND shareholder_id = '59755'
ORDER BY shoh.pct_of_ownership DESC;</t>
  </si>
  <si>
    <t>Superinvestor % change</t>
  </si>
  <si>
    <t>select stock_symbol, shareholder_id,
to_date, date_header, pct_of_ownership, holdings 
from share_ownerships where 
stock_symbol = 'RELIANCE'
AND pct_of_ownership &lt;&gt; '0'
order by pct_of_ownership desc</t>
  </si>
  <si>
    <t>Current ownership</t>
  </si>
  <si>
    <t>Sr. No.</t>
  </si>
  <si>
    <t>SELECT * FROM public.shareholders where parent_investor = '59755'
SELECT * FROM public.shareholders WHERE name ILIKE '%jhun%' and parent_investor not in ('59755');
SELECT * FROM public.share_ownership_histories where shareholder_id = '60543' 
SELECT * FROM public.shareholders where super_investor_ind = 'true'
SELECT id, name, super_investor_ind, parent_investor, exclusion_overrides, shareholding_axis
FROM public.shareholders where parent_investor = '59755'
SELECT * FROM public.shareholders 
WHERE (name ILIKE '%gov%' and name ILIKE '%sing%') and parent_investor is null</t>
  </si>
  <si>
    <t>Stock symbols that are in share_ownerships but not in share_ownership_histories, and vice versa.</t>
  </si>
  <si>
    <t>SELECT 
    stock_symbol, 
    date_header, 
    shareholding_pattern,
    axis_summaries,
    declaration,
    summaries,
    -- Identify the first missing key field from shareholding_pattern
    CASE 
        WHEN shareholding_pattern-&gt;&gt;'NumberOfShares' IS NULL OR shareholding_pattern-&gt;&gt;'NumberOfShares' = '' THEN 'NumberOfShares' 
        WHEN shareholding_pattern-&gt;&gt;'NumberOfShareholders' IS NULL OR shareholding_pattern-&gt;&gt;'NumberOfShareholders' = '' THEN 'NumberOfShareholders' 
        ELSE NULL 
    END AS missing_field
FROM shareholder_summaries
WHERE 
    -- Conditions to detect missing values in shareholding_pattern
    shareholding_pattern-&gt;&gt;'NumberOfShares' IS NULL OR shareholding_pattern-&gt;&gt;'NumberOfShares' = ''
    OR shareholding_pattern-&gt;&gt;'NumberOfShareholders' IS NULL OR shareholding_pattern-&gt;&gt;'NumberOfShareholders' = ''
    -- Conditions to check if axis_summaries, declaration, or summaries are null or empty
    OR axis_summaries IS NULL OR axis_summaries::text = '{}' OR axis_summaries::text = ''
    OR declaration IS NULL OR declaration::text = '{}' OR declaration::text = ''
    --OR summaries IS NULL OR summaries::text = '{}' --commented as this column as added later
	--OR summaries::text = '' --commented as this column as added later</t>
  </si>
  <si>
    <t>This SQL identifies records in shareholder_summaries where key data fields in shareholding_pattern, axis_summaries, declaration, or summaries are missing or empty.</t>
  </si>
  <si>
    <t>SELECT
  to_date,
  stock_symbol,
  ROUND(
    100.0 * (
      (
        (shareholding_pattern-&gt;&gt;'NumberOfShares')::BIGINT - 
        LAG((shareholding_pattern-&gt;&gt;'NumberOfShares')::BIGINT) OVER (PARTITION BY stock_symbol ORDER BY to_date DESC)
      )::NUMERIC
      /
      NULLIF(LAG((shareholding_pattern-&gt;&gt;'NumberOfShares')::BIGINT) OVER (PARTITION BY stock_symbol ORDER BY to_date DESC), 0)
    ), 2
  ) AS PercentageIncreaseInNumberOfShares,
  ROUND((shareholding_pattern-&gt;&gt;'NumberOfShares')::NUMERIC / 10000000, 2) AS NumberOfSharesInCrore,
  (shareholding_pattern-&gt;&gt;'NumberOfShareholders')::BIGINT AS NumberOfShareholders,
  (shareholding_pattern-&gt;&gt;'NumberOfVotingRights')::BIGINT AS NumberOfVotingRights,
  shareholding_pattern-&gt;&gt;'NumberOfSharesOriginal' AS NumberOfSharesOriginal,
  (shareholding_pattern-&gt;&gt;'PercentageOfTotalVotingRights')::NUMERIC AS PercentageOfTotalVotingRights,
  (shareholding_pattern-&gt;&gt;'NumberOfFullyPaidUpEquityShares')::BIGINT AS NumberOfFullyPaidUpEquityShares,
  (shareholding_pattern-&gt;&gt;'NumberOfEquitySharesHeldInDematerializedForm')::BIGINT AS NumberOfEquitySharesHeldInDematerializedForm,
  (shareholding_pattern-&gt;&gt;'NumberOfVotingRightsHeldBySameClassOfSecurities')::BIGINT AS NumberOfVotingRightsHeldBySameClassOfSecurities,
  (shareholding_pattern-&gt;&gt;'NumberOfSharesUnderlyingOutstandingDepositoryReceipts')::BIGINT AS NumberOfSharesUnderlyingOutstandingDepositoryReceipts
FROM
  shareholder_summaries
WHERE
  stock_symbol = 'RELIANCE'
ORDER BY
  to_date DESC;</t>
  </si>
  <si>
    <t>Shares change in % by quarter</t>
  </si>
  <si>
    <t>SQl to identify where bonus or split is not applied.
Joined with generic data table.</t>
  </si>
  <si>
    <t>WITH generic_symbols AS (
  SELECT  
    json_data.key AS stock_symbol
  FROM generic_data gd,
       LATERAL jsonb_each_text(gd.time_map) AS json_data(key, value)
),
filtered_symbols AS (
  SELECT DISTINCT stock_symbol
  FROM utils.split_bonus_utils
  WHERE stock_symbol IN (SELECT stock_symbol FROM generic_symbols)
),
filtered_data AS (
  SELECT ss.* 
  FROM shareholder_summaries ss
  INNER JOIN filtered_symbols fs ON ss.stock_symbol = fs.stock_symbol
),
ordered_data AS (
  SELECT
    fd.stock_symbol,
    fd.to_date,
    (fd.shareholding_pattern -&gt;&gt; 'NumberOfShares')::BIGINT AS number_of_shares,
    fd.shareholding_pattern -&gt;&gt; 'NumberOfSharesOriginal' AS number_of_shares_original,
    LAG((fd.shareholding_pattern -&gt;&gt; 'NumberOfShares')::BIGINT) OVER (
      PARTITION BY fd.stock_symbol
      ORDER BY fd.to_date DESC
    ) AS prev_number_of_shares
  FROM filtered_data fd
),
all_combinations AS (
  SELECT
    od.stock_symbol,
    od.to_date,
    od.number_of_shares,
    od.number_of_shares_original,
    od.prev_number_of_shares,
    sbu.ex_date,
    sbu.corp_action,
    sbu.numerator,
    sbu.denominator,
    sbu.comments  -- Added the comments field here
  FROM ordered_data od
  CROSS JOIN utils.split_bonus_utils sbu
  WHERE od.stock_symbol = sbu.stock_symbol
    AND od.prev_number_of_shares IS NOT NULL
    AND od.to_date &gt; sbu.ex_date
    AND (
      DATE_PART('year', AGE(od.to_date, sbu.ex_date)) * 12 + 
      DATE_PART('month', AGE(od.to_date, sbu.ex_date))
    ) &lt;= 4  -- Only include if difference is within 4 months
),
ratio_calc AS (
  SELECT
    ac.stock_symbol,
    ac.to_date,
    ac.ex_date,
    ac.number_of_shares,
    ac.number_of_shares_original,
    ac.prev_number_of_shares,
    ac.corp_action,
    ac.numerator,
    ac.denominator,
    ac.comments,  -- Added comments here as well
    CASE 
      WHEN ac.number_of_shares &lt;&gt; 0 
      THEN ROUND(CAST(ac.prev_number_of_shares AS NUMERIC) / ac.number_of_shares, 4)
      ELSE NULL
    END AS ratio,
    DATE_PART('year', AGE(ac.to_date, ac.ex_date)) * 12 + DATE_PART('month', AGE(ac.to_date, ac.ex_date)) AS months_diff,
    CASE
      WHEN ac.corp_action = 'Bonus' OR ac.corp_action = 'Rights' THEN ROUND(1 + CAST(ac.numerator AS NUMERIC) / ac.denominator, 4)
      WHEN ac.corp_action = 'Split' THEN ROUND(CAST(ac.numerator AS NUMERIC) / ac.denominator, 4)
      ELSE NULL
    END AS multiplier
  FROM all_combinations ac
),
final_result AS (
  SELECT * ,
         ROUND(ABS(ratio - multiplier) / multiplier * 100, 2) AS percent_diff,
         ROUND(ABS(prev_number_of_shares - number_of_shares) * 100.0 / number_of_shares, 2) AS shares_percent_diff
  FROM ratio_calc
)
SELECT 
    stock_symbol,
    to_date,
    ex_date,
    corp_action,
    number_of_shares,
    number_of_shares_original,
    prev_number_of_shares,
    ratio,
    multiplier,
    percent_diff,
    months_diff,
    comments  -- Finally selecting the comments field
FROM final_result
WHERE ratio IS NOT NULL
  AND multiplier IS NOT NULL
  AND ratio &lt;&gt; 1
  AND percent_diff &lt;= 10
ORDER BY stock_symbol, to_date DESC, ex_date DESC;</t>
  </si>
  <si>
    <t>Joined with generic data table and get % increase for each row.</t>
  </si>
  <si>
    <t>SELECT * 
FROM public.profit_losses 
WHERE --stock_symbol = 'HDFCBANK'
   (standalone_json -&gt;&gt; 'ProfitLossForThePeriod')::NUMERIC 
      &lt;&gt; (standalone_json -&gt;&gt; 'ProfitLossForPeriodForEPS')::NUMERIC
ORDER BY to_date DESC;</t>
  </si>
  <si>
    <t>Non-Bank
ProfitLossForPeriod &lt;&gt; ProfitLossForPeriodForEPS</t>
  </si>
  <si>
    <t>SELECT * 
FROM public.profit_losses 
WHERE --stock_symbol = 'ITC' and
   (standalone_json -&gt;&gt; 'ProfitLossForPeriod')::NUMERIC 
     &lt;&gt; (standalone_json -&gt;&gt; 'ProfitLossForPeriodForEPS')::NUMERIC
ORDER BY to_date DESC;</t>
  </si>
  <si>
    <t>SELECT 
    stock_symbol,
    corp_action,
    numerator,
    denominator,
    ex_date
FROM 
    utils.split_bonus_utils
GROUP BY 
    stock_symbol,
    corp_action,
    numerator,
    denominator,
    ex_date
HAVING 
    COUNT(*) &gt;= 2;</t>
  </si>
  <si>
    <t>Duplicate in corporate action</t>
  </si>
  <si>
    <t>WITH generic_symbols AS (
  SELECT json_data.key AS stock_symbol
  FROM generic_data gd
  JOIN LATERAL jsonb_each_text(gd.time_map) AS json_data(key, value) ON true
),
filtered_data AS (
  SELECT ss.*
  FROM shareholder_summaries ss
  INNER JOIN generic_symbols gs ON ss.stock_symbol = gs.stock_symbol
),
ordered_data AS (
  SELECT
    fd.stock_symbol,
    fd.to_date,
    (fd.shareholding_pattern -&gt;&gt; 'NumberOfShares')::BIGINT AS number_of_shares,
    fd.shareholding_pattern -&gt;&gt; 'NumberOfSharesOriginal' AS number_of_shares_original,
    LAG((fd.shareholding_pattern -&gt;&gt; 'NumberOfShares')::BIGINT) OVER (
      PARTITION BY fd.stock_symbol
      ORDER BY fd.to_date DESC
    ) AS prev_number_of_shares
  FROM filtered_data fd
),
with_percent_increase AS (
  SELECT
    stock_symbol,
    to_date,
    number_of_shares,
    number_of_shares_original,
    prev_number_of_shares,
    ROUND((number_of_shares - prev_number_of_shares) * 100.0 / prev_number_of_shares, 2) AS shares_percent_increase
  FROM ordered_data
  WHERE prev_number_of_shares IS NOT NULL
    AND prev_number_of_shares &gt; 0
)
SELECT
  wpi.stock_symbol,
  wpi.to_date,
  wpi.number_of_shares,
  wpi.number_of_shares_original,
  wpi.prev_number_of_shares,
  wpi.shares_percent_increase,
  sbu.corp_action,
  sbu.numerator,
  sbu.denominator,
  sbu.ex_date,
  sbu.ex_date_override,
  sbu.comments,
  cp.market_cap,
  -- Calculate multiplier
  CASE
    WHEN sbu.corp_action IN ('Bonus', 'Rights') AND sbu.denominator != 0 THEN
      ROUND(1 + sbu.numerator::NUMERIC / sbu.denominator, 4)
    WHEN sbu.corp_action = 'Split' AND sbu.denominator != 0 THEN
      ROUND(sbu.numerator::NUMERIC / sbu.denominator, 4)
    ELSE NULL
  END AS multiplier,
  -- Share ratios
  ROUND(wpi.number_of_shares::NUMERIC / NULLIF(wpi.prev_number_of_shares, 0), 4) AS share_ratio,
  ROUND(wpi.prev_number_of_shares::NUMERIC / NULLIF(wpi.number_of_shares, 0), 4) AS rev_share_ratio,
  -- Check conditions
  CASE
    WHEN ROUND(wpi.number_of_shares::NUMERIC / NULLIF(wpi.prev_number_of_shares, 0), 4) =
         CASE
           WHEN sbu.corp_action IN ('Bonus', 'Rights') AND sbu.denominator != 0 THEN
             ROUND(1 + sbu.numerator::NUMERIC / sbu.denominator, 4)
           WHEN sbu.corp_action = 'Split' AND sbu.denominator != 0 THEN
             ROUND(sbu.numerator::NUMERIC / sbu.denominator, 4)
           ELSE NULL
         END THEN 'TRUE'
    ELSE ''
  END AS check_1,
  CASE
    WHEN ROUND(wpi.prev_number_of_shares::NUMERIC / NULLIF(wpi.number_of_shares, 0), 4) =
         CASE
           WHEN sbu.corp_action IN ('Bonus', 'Rights') AND sbu.denominator != 0 THEN
             ROUND(1 + sbu.numerator::NUMERIC / sbu.denominator, 4)
           WHEN sbu.corp_action = 'Split' AND sbu.denominator != 0 THEN
             ROUND(sbu.numerator::NUMERIC / sbu.denominator, 4)
           ELSE NULL
         END THEN 'TRUE'
    ELSE ''
  END AS check_2,
  -- Month difference between to_date and ex_date
  DATE_PART('year', wpi.to_date) * 12 + DATE_PART('month', wpi.to_date) -
  (DATE_PART('year', sbu.ex_date) * 12 + DATE_PART('month', sbu.ex_date)) AS month_diff,
  -- Direction of change
  CASE
    WHEN wpi.shares_percent_increase &gt; 0 THEN 'Increase'
    WHEN wpi.shares_percent_increase &lt; 0 THEN 'Decrease'
    ELSE 'No Change'
  END AS change_direction
FROM with_percent_increase wpi
LEFT JOIN utils.split_bonus_utils sbu ON wpi.stock_symbol = sbu.stock_symbol
LEFT JOIN company_profiles cp ON wpi.stock_symbol = cp.stock_symbol
WHERE ABS(wpi.shares_percent_increase) &gt; 5
ORDER BY wpi.shares_percent_increase DESC;</t>
  </si>
  <si>
    <t>SELECT
    pl.stock_symbol,
    pl.date_header,
    pl.period,
    -- Converted to crore
    ROUND(CAST(pl.standalone_json-&gt;&gt;'ProfitLossForPeriodForEPS' AS NUMERIC) / 10000000, 2) AS standalone_PL_crore,
    ROUND(CAST(pl.consolidated_json-&gt;&gt;'ProfitLossForPeriodForEPS' AS NUMERIC) / 10000000, 2) AS consolidated_PL_crore,
    -- Round CalculatedEPS to 2 decimals
    ROUND(CAST(pl.standalone_json-&gt;&gt;'CalculatedEPS' AS NUMERIC), 2) AS standalone_CalculatedEPS,
    ROUND(CAST(pl.standalone_json-&gt;&gt;'AdjustedEPS' AS NUMERIC), 2) AS standalone_AdjustedEPS,
    ROUND(CAST(pl.standalone_json-&gt;&gt;'AdjustedDilutedEPS' AS NUMERIC), 2) AS standalone_AdjustedDilutedEPS,
    ROUND(CAST(pl.consolidated_json-&gt;&gt;'CalculatedEPS' AS NUMERIC), 2) AS consolidated_CalculatedEPS,
    ROUND(CAST(pl.consolidated_json-&gt;&gt;'AdjustedEPS' AS NUMERIC), 2) AS consolidated_AdjustedEPS,
    ROUND(CAST(pl.consolidated_json-&gt;&gt;'AdjustedDilutedEPS' AS NUMERIC), 2) AS consolidated_AdjustedDilutedEPS,
    -- EPS Calculated using Profit / NumberOfShares
    ROUND(
        CAST(pl.standalone_json-&gt;&gt;'ProfitLossForPeriodForEPS' AS NUMERIC) / 
        NULLIF(CAST(ss.shareholding_pattern-&gt;&gt;'NumberOfShares' AS NUMERIC), 0), 
    2) AS standalone_EPS_Computed,
    ROUND(
        CAST(pl.consolidated_json-&gt;&gt;'ProfitLossForPeriodForEPS' AS NUMERIC) / 
        NULLIF(CAST(ss.shareholding_pattern-&gt;&gt;'NumberOfShares' AS NUMERIC), 0), 
    2) AS consolidated_EPS_Computed,
    CASE 
        WHEN sbu.stock_symbol IS NOT NULL THEN 'Yes'
        ELSE 'No'
    END AS corporate_action
FROM
    profit_losses pl
LEFT JOIN (
    SELECT DISTINCT stock_symbol FROM utils.split_bonus_utils
) sbu ON pl.stock_symbol = sbu.stock_symbol
LEFT JOIN shareholder_summaries ss
    ON pl.stock_symbol = ss.stock_symbol
    AND pl.period = ss.date_header
WHERE
    (pl.standalone_json-&gt;&gt;'CalculatedEPS') IS NOT NULL
    OR (pl.consolidated_json-&gt;&gt;'CalculatedEPS') IS NOT NULL
ORDER BY
    pl.timestamp DESC;</t>
  </si>
  <si>
    <t>SELECT *
FROM share_ownerships s
WHERE (s.stock_symbol, s.shareholder_id, s.date_header) IN (
    SELECT stock_symbol, shareholder_id, date_header
    FROM share_ownerships
    GROUP BY stock_symbol, shareholder_id, date_header
    HAVING COUNT(*) &gt; 1
)</t>
  </si>
  <si>
    <t>Duplciate Records - share_ownerships</t>
  </si>
  <si>
    <t>SELECT *
FROM share_ownership_histories s
WHERE (s.stock_symbol, s.shareholder_id, s.date_header) IN (
    SELECT stock_symbol, shareholder_id, date_header
    FROM share_ownership_histories
    GROUP BY stock_symbol, shareholder_id, date_header
    HAVING COUNT(*) &gt; 1
)</t>
  </si>
  <si>
    <t>SELECT *
FROM shareholder_summaries
WHERE (stock_symbol, date_header) IN (
    SELECT stock_symbol, date_header
    FROM shareholder_summaries
    GROUP BY stock_symbol, date_header
    HAVING COUNT(*) &gt; 1
)
ORDER BY stock_symbol, date_header;</t>
  </si>
  <si>
    <t>Duplciate Records - share_summaries</t>
  </si>
  <si>
    <t>Stanalone</t>
  </si>
  <si>
    <t>SELECT * 
FROM public.profit_losses
WHERE (
    ( (consolidated_json -&gt;&gt; 'ProfitLossForThePeriod')::NUMERIC
      + (consolidated_json -&gt;&gt; 'ShareOfProfitLossOfAssociates')::NUMERIC
      - (consolidated_json -&gt;&gt; 'ProfitLossOfMinorityInterest')::NUMERIC
    )
    &lt;&gt; (consolidated_json -&gt;&gt; 'ProfitLossForPeriodForEPS')::NUMERIC
)
ORDER BY to_date DESC;</t>
  </si>
  <si>
    <t>Consolidated</t>
  </si>
  <si>
    <t xml:space="preserve">ProfitLossForThePeriod +ShareOfProfitLossOfAssociates -  ProfitLossOfMinorityInterest 
&lt;&gt; ProfitLossForPeriodForEPS </t>
  </si>
  <si>
    <t>Type</t>
  </si>
  <si>
    <t>Bank</t>
  </si>
  <si>
    <t>Non-Bank</t>
  </si>
  <si>
    <t>SELECT
    pl.stock_symbol,
    pl.to_date,
    pl.period,
    pl.date_header,
    ROUND(cp.market_cap, 2) AS market_cap_crore,
    -- Print all required fields in crore
    ROUND((pl.consolidated_json -&gt;&gt; 'Income')::NUMERIC / 10000000, 2) AS income_crore,
    ROUND((pl.consolidated_json -&gt;&gt; 'InterestEarned')::NUMERIC / 10000000, 2) AS interest_earned_crore,
    ROUND((pl.consolidated_json -&gt;&gt; 'InterestOrDiscountOnAdvancesOrBills')::NUMERIC / 10000000, 2) AS interest_or_discount_on_advances_or_bills_crore,
    ROUND((pl.consolidated_json -&gt;&gt; 'RevenueOnInvestments')::NUMERIC / 10000000, 2) AS revenue_on_investments_crore,
    ROUND((pl.consolidated_json -&gt;&gt; 'InterestOnBalancesWithReserveBankOfIndiaAndOtherInterBankFunds')::NUMERIC / 10000000, 2) AS interest_on_rbi_and_interbank_crore,
    ROUND((pl.consolidated_json -&gt;&gt; 'OtherInterest')::NUMERIC / 10000000, 2) AS other_interest_crore,
    ROUND((pl.consolidated_json -&gt;&gt; 'OtherIncome')::NUMERIC / 10000000, 2) AS other_income_crore,
    ROUND((pl.consolidated_json -&gt;&gt; 'ExpenditureExcludingProvisionsAndContingencies')::NUMERIC / 10000000, 2) AS expenditure_excl_provisions_crore,
    ROUND((pl.consolidated_json -&gt;&gt; 'InterestExpended')::NUMERIC / 10000000, 2) AS interest_expended_crore,
    ROUND((pl.consolidated_json -&gt;&gt; 'EmployeesCost')::NUMERIC / 10000000, 2) AS employees_cost_crore,
    ROUND((pl.consolidated_json -&gt;&gt; 'OtherOperatingExpenses')::NUMERIC / 10000000, 2) AS other_operating_expenses_crore,
    ROUND((pl.consolidated_json -&gt;&gt; 'ProvisionsOtherThanTaxAndContingencies')::NUMERIC / 10000000, 2) AS provisions_other_than_tax_crore,
    ROUND((pl.consolidated_json -&gt;&gt; 'ExceptionalItems')::NUMERIC / 10000000, 2) AS exceptional_items_crore,
    ROUND((pl.consolidated_json -&gt;&gt; 'ProfitLossFromOrdinaryActivitiesBeforeTax')::NUMERIC / 10000000, 2) AS profit_loss_before_tax_crore,
    ROUND((pl.consolidated_json -&gt;&gt; 'ExtraordinaryItems')::NUMERIC / 10000000, 2) AS extraordinary_items_crore,
    ROUND((pl.consolidated_json -&gt;&gt; 'TaxExpense')::NUMERIC / 10000000, 2) AS tax_expense_crore,
    ROUND((pl.consolidated_json -&gt;&gt; 'ProfitLossForThePeriod')::NUMERIC / 10000000, 2) AS profit_loss_for_period_crore,
    ROUND((pl.consolidated_json -&gt;&gt; 'ShareOfProfitLossOfAssociates')::NUMERIC / 10000000, 2) AS share_of_profit_loss_of_associates_crore,
    ROUND((pl.consolidated_json -&gt;&gt; 'ProfitLossOfMinorityInterest')::NUMERIC / 10000000, 2) AS profit_loss_of_minority_interest_crore,
    ROUND((pl.consolidated_json -&gt;&gt; 'ProfitLossAfterTaxesMinorityInterestAndShareOfProfitLossOfAssociates')::NUMERIC / 10000000, 2) AS profit_loss_after_taxes_minority_share_crore,
    -- Add calculated profit_loss_calc for comparison
    ROUND((
        (pl.consolidated_json -&gt;&gt; 'Income')::NUMERIC
        - (pl.consolidated_json -&gt;&gt; 'ExpenditureExcludingProvisionsAndContingencies')::NUMERIC
        - COALESCE((pl.consolidated_json -&gt;&gt; 'ProvisionsOtherThanTaxAndContingencies')::NUMERIC, 0)
        + COALESCE((pl.consolidated_json -&gt;&gt; 'ExceptionalItems')::NUMERIC, 0)
        + COALESCE((pl.consolidated_json -&gt;&gt; 'ExtraordinaryItems')::NUMERIC, 0)
        - (pl.consolidated_json -&gt;&gt; 'TaxExpense')::NUMERIC
    ) / 10000000, 2) AS profit_loss_calc_crore
FROM public.profit_losses pl
JOIN public.company_profiles cp ON pl.stock_symbol = cp.stock_symbol
WHERE
    -- Comparison of calculated profit vs. ProfitLossForPeriod
    ROUND((
        (pl.consolidated_json -&gt;&gt; 'Income')::NUMERIC
        - (pl.consolidated_json -&gt;&gt; 'ExpenditureExcludingProvisionsAndContingencies')::NUMERIC
        - COALESCE((pl.consolidated_json -&gt;&gt; 'ProvisionsOtherThanTaxAndContingencies')::NUMERIC, 0)
        + COALESCE((pl.consolidated_json -&gt;&gt; 'ExceptionalItems')::NUMERIC, 0)
        + COALESCE((pl.consolidated_json -&gt;&gt; 'ExtraordinaryItems')::NUMERIC, 0)
        - (pl.consolidated_json -&gt;&gt; 'TaxExpense')::NUMERIC
    ) / 10000000, 2)
    &lt;&gt; ROUND((pl.consolidated_json -&gt;&gt; 'ProfitLossForThePeriod')::NUMERIC / 10000000, 2)
ORDER BY cp.market_cap DESC;</t>
  </si>
  <si>
    <t>SELECT
    pl.stock_symbol,
    pl.to_date,
    pl.period,
    pl.date_header,
    ROUND(cp.market_cap, 2) AS market_cap_crore,
    -- Print all required fields in crore
    ROUND((pl.consolidated_json -&gt;&gt; 'Income')::NUMERIC / 10000000, 2) AS income_crore,
    ROUND((pl.consolidated_json -&gt;&gt; 'InterestEarned')::NUMERIC / 10000000, 2) AS interest_earned_crore,
    ROUND((pl.consolidated_json -&gt;&gt; 'InterestOrDiscountOnAdvancesOrBills')::NUMERIC / 10000000, 2) AS interest_or_discount_on_advances_or_bills_crore,
    ROUND((pl.consolidated_json -&gt;&gt; 'RevenueOnInvestments')::NUMERIC / 10000000, 2) AS revenue_on_investments_crore,
    ROUND((pl.consolidated_json -&gt;&gt; 'InterestOnBalancesWithReserveBankOfIndiaAndOtherInterBankFunds')::NUMERIC / 10000000, 2) AS interest_on_rbi_and_interbank_crore,
    ROUND((pl.consolidated_json -&gt;&gt; 'OtherInterest')::NUMERIC / 10000000, 2) AS other_interest_crore,
    ROUND((pl.consolidated_json -&gt;&gt; 'OtherIncome')::NUMERIC / 10000000, 2) AS other_income_crore,
    ROUND((pl.consolidated_json -&gt;&gt; 'ExpenditureExcludingProvisionsAndContingencies')::NUMERIC / 10000000, 2) AS expenditure_excl_provisions_crore,
    ROUND((pl.consolidated_json -&gt;&gt; 'InterestExpended')::NUMERIC / 10000000, 2) AS interest_expended_crore,
    ROUND((pl.consolidated_json -&gt;&gt; 'EmployeesCost')::NUMERIC / 10000000, 2) AS employees_cost_crore,
    ROUND((pl.consolidated_json -&gt;&gt; 'OtherOperatingExpenses')::NUMERIC / 10000000, 2) AS other_operating_expenses_crore,
    ROUND((pl.consolidated_json -&gt;&gt; 'ProvisionsOtherThanTaxAndContingencies')::NUMERIC / 10000000, 2) AS provisions_other_than_tax_crore,
    ROUND((pl.consolidated_json -&gt;&gt; 'ExceptionalItems')::NUMERIC / 10000000, 2) AS exceptional_items_crore,
    ROUND((pl.consolidated_json -&gt;&gt; 'ProfitLossFromOrdinaryActivitiesBeforeTax')::NUMERIC / 10000000, 2) AS profit_loss_before_tax_crore,
    ROUND((pl.consolidated_json -&gt;&gt; 'ExtraordinaryItems')::NUMERIC / 10000000, 2) AS extraordinary_items_crore,
    ROUND((pl.consolidated_json -&gt;&gt; 'TaxExpense')::NUMERIC / 10000000, 2) AS tax_expense_crore,
    ROUND((pl.consolidated_json -&gt;&gt; 'ProfitLossForThePeriod')::NUMERIC / 10000000, 2) AS profit_loss_for_period_crore,
    ROUND((pl.consolidated_json -&gt;&gt; 'ShareOfProfitLossOfAssociates')::NUMERIC / 10000000, 2) AS share_of_profit_loss_of_associates_crore,
    ROUND((pl.consolidated_json -&gt;&gt; 'ProfitLossOfMinorityInterest')::NUMERIC / 10000000, 2) AS profit_loss_of_minority_interest_crore,
    ROUND((pl.consolidated_json -&gt;&gt; 'ProfitLossAfterTaxesMinorityInterestAndShareOfProfitLossOfAssociates')::NUMERIC / 10000000, 2) AS profit_loss_after_taxes_minority_share_crore,
    -- Add calculated profit_loss_calc for comparison
    ROUND((
        (pl.consolidated_json -&gt;&gt; 'Income')::NUMERIC
        - (pl.consolidated_json -&gt;&gt; 'ExpenditureExcludingProvisionsAndContingencies')::NUMERIC
        - COALESCE((pl.consolidated_json -&gt;&gt; 'ProvisionsOtherThanTaxAndContingencies')::NUMERIC, 0)
        + COALESCE((pl.consolidated_json -&gt;&gt; 'ExceptionalItems')::NUMERIC, 0)
        + COALESCE((pl.consolidated_json -&gt;&gt; 'ExtraordinaryItems')::NUMERIC, 0)
        - (pl.consolidated_json -&gt;&gt; 'TaxExpense')::NUMERIC
    ) / 10000000, 2) AS profit_loss_calc_crore
FROM public.profit_losses pl
JOIN public.company_profiles cp ON pl.stock_symbol = cp.stock_symbol
WHERE
    -- Comparison of calculated profit vs. ProfitLossForPeriod
    ROUND((
        (pl.consolidated_json -&gt;&gt; 'Income')::NUMERIC
        - (pl.consolidated_json -&gt;&gt; 'ExpenditureExcludingProvisionsAndContingencies')::NUMERIC
        - COALESCE((pl.consolidated_json -&gt;&gt; 'ProvisionsOtherThanTaxAndContingencies')::NUMERIC, 0)
        + COALESCE((pl.consolidated_json -&gt;&gt; 'ExceptionalItems')::NUMERIC, 0)
        + COALESCE((pl.consolidated_json -&gt;&gt; 'ExtraordinaryItems')::NUMERIC, 0)
        - (pl.consolidated_json -&gt;&gt; 'TaxExpense')::NUMERIC
        + (pl.consolidated_json -&gt;&gt; 'ShareOfProfitLossOfAssociates')::NUMERIC
        - (pl.consolidated_json -&gt;&gt; 'ProfitLossOfMinorityInterest')::NUMERIC		
    ) / 10000000, 2)
    &lt;&gt; ROUND((pl.consolidated_json -&gt;&gt; 'ProfitLossAfterTaxesMinorityInterestAndShareOfProfitLossOfAssociates')::NUMERIC / 10000000, 2)
ORDER BY cp.market_cap DESC;</t>
  </si>
  <si>
    <t>SELECT * 
FROM public.profit_losses 
WHERE --stock_symbol = 'ITC' and
   ((consolidated_json -&gt;&gt; 'ProfitLossForPeriod')::NUMERIC 
    - (consolidated_json -&gt;&gt; 'ProfitLossOfMinorityInterest')::NUMERIC)
     &lt;&gt; (consolidated_json -&gt;&gt; 'ProfitLossForPeriodForEPS')::NUMERIC
ORDER BY to_date DESC;</t>
  </si>
  <si>
    <t>SELECT
    pl.stock_symbol,
    pl.to_date,
    pl.period,
    pl.date_header,
    ROUND(cp.market_cap, 2) AS market_cap_crore,
    -- Print all components
    ROUND((pl.consolidated_json -&gt;&gt; 'Income')::NUMERIC / 10000000, 2) AS income_crore,
    ROUND((pl.consolidated_json -&gt;&gt; 'InterestEarned')::NUMERIC / 10000000, 2) AS interest_earned_crore,
    ROUND((pl.consolidated_json -&gt;&gt; 'InterestOrDiscountOnAdvancesOrBills')::NUMERIC / 10000000, 2) AS interest_or_discount_on_advances_or_bills_crore,
    ROUND((pl.consolidated_json -&gt;&gt; 'RevenueOnInvestments')::NUMERIC / 10000000, 2) AS revenue_on_investments_crore,
    ROUND((pl.consolidated_json -&gt;&gt; 'InterestOnBalancesWithReserveBankOfIndiaAndOtherInterBankFunds')::NUMERIC / 10000000, 2) AS interest_on_rbi_and_interbank_crore,
    ROUND((pl.consolidated_json -&gt;&gt; 'OtherInterest')::NUMERIC / 10000000, 2) AS other_interest_crore,
    ROUND((pl.consolidated_json -&gt;&gt; 'OtherIncome')::NUMERIC / 10000000, 2) AS other_income_crore,
    -- Calculated sums
    ROUND((
        COALESCE((pl.consolidated_json -&gt;&gt; 'InterestOrDiscountOnAdvancesOrBills')::NUMERIC, 0)
        + COALESCE((pl.consolidated_json -&gt;&gt; 'RevenueOnInvestments')::NUMERIC, 0)
        + COALESCE((pl.consolidated_json -&gt;&gt; 'InterestOnBalancesWithReserveBankOfIndiaAndOtherInterBankFunds')::NUMERIC, 0)
        + COALESCE((pl.consolidated_json -&gt;&gt; 'OtherInterest')::NUMERIC, 0)
        + COALESCE((pl.consolidated_json -&gt;&gt; 'OtherIncome')::NUMERIC, 0)
    ) / 10000000, 2) AS income_calc_crore,
    ROUND((
        COALESCE((pl.consolidated_json -&gt;&gt; 'InterestOrDiscountOnAdvancesOrBills')::NUMERIC, 0)
        + COALESCE((pl.consolidated_json -&gt;&gt; 'RevenueOnInvestments')::NUMERIC, 0)
        + COALESCE((pl.consolidated_json -&gt;&gt; 'InterestOnBalancesWithReserveBankOfIndiaAndOtherInterBankFunds')::NUMERIC, 0)
        + COALESCE((pl.consolidated_json -&gt;&gt; 'OtherInterest')::NUMERIC, 0)
    ) / 10000000, 2) AS interest_earned_calc_crore
FROM public.profit_losses pl
JOIN public.company_profiles cp ON pl.stock_symbol = cp.stock_symbol
WHERE
    ((
        ROUND((pl.consolidated_json -&gt;&gt; 'Income')::NUMERIC / 10000000, 2) &lt;&gt;
        ROUND((
            COALESCE((pl.consolidated_json -&gt;&gt; 'InterestOrDiscountOnAdvancesOrBills')::NUMERIC, 0)
            + COALESCE((pl.consolidated_json -&gt;&gt; 'RevenueOnInvestments')::NUMERIC, 0)
            + COALESCE((pl.consolidated_json -&gt;&gt; 'InterestOnBalancesWithReserveBankOfIndiaAndOtherInterBankFunds')::NUMERIC, 0)
            + COALESCE((pl.consolidated_json -&gt;&gt; 'OtherInterest')::NUMERIC, 0)
            + COALESCE((pl.consolidated_json -&gt;&gt; 'OtherIncome')::NUMERIC, 0)
        ) / 10000000, 2)
    )
    OR
    (
        ROUND((pl.consolidated_json -&gt;&gt; 'InterestEarned')::NUMERIC / 10000000, 2) &lt;&gt;
        ROUND((
            COALESCE((pl.consolidated_json -&gt;&gt; 'InterestOrDiscountOnAdvancesOrBills')::NUMERIC, 0)
            + COALESCE((pl.consolidated_json -&gt;&gt; 'RevenueOnInvestments')::NUMERIC, 0)
            + COALESCE((pl.consolidated_json -&gt;&gt; 'InterestOnBalancesWithReserveBankOfIndiaAndOtherInterBankFunds')::NUMERIC, 0)
            + COALESCE((pl.consolidated_json -&gt;&gt; 'OtherInterest')::NUMERIC, 0)
        ) / 10000000, 2)
    )) AND industry = 'Banks'
ORDER BY cp.market_cap DESC;</t>
  </si>
  <si>
    <t>SELECT
    pl.stock_symbol,
    pl.to_date,
    pl.period,
    pl.date_header,
    ROUND(cp.market_cap, 2) AS market_cap_crore,
    -- Print all components
    ROUND((pl.standalone_json -&gt;&gt; 'Income')::NUMERIC / 10000000, 2) AS income_crore,
    ROUND((pl.standalone_json -&gt;&gt; 'InterestEarned')::NUMERIC / 10000000, 2) AS interest_earned_crore,
    ROUND((pl.standalone_json -&gt;&gt; 'InterestOrDiscountOnAdvancesOrBills')::NUMERIC / 10000000, 2) AS interest_or_discount_on_advances_or_bills_crore,
    ROUND((pl.standalone_json -&gt;&gt; 'RevenueOnInvestments')::NUMERIC / 10000000, 2) AS revenue_on_investments_crore,
    ROUND((pl.standalone_json -&gt;&gt; 'InterestOnBalancesWithReserveBankOfIndiaAndOtherInterBankFunds')::NUMERIC / 10000000, 2) AS interest_on_rbi_and_interbank_crore,
    ROUND((pl.standalone_json -&gt;&gt; 'OtherInterest')::NUMERIC / 10000000, 2) AS other_interest_crore,
    ROUND((pl.standalone_json -&gt;&gt; 'OtherIncome')::NUMERIC / 10000000, 2) AS other_income_crore,
    -- Calculated sums
    ROUND((
        COALESCE((pl.standalone_json -&gt;&gt; 'InterestOrDiscountOnAdvancesOrBills')::NUMERIC, 0)
        + COALESCE((pl.standalone_json -&gt;&gt; 'RevenueOnInvestments')::NUMERIC, 0)
        + COALESCE((pl.standalone_json -&gt;&gt; 'InterestOnBalancesWithReserveBankOfIndiaAndOtherInterBankFunds')::NUMERIC, 0)
        + COALESCE((pl.standalone_json -&gt;&gt; 'OtherInterest')::NUMERIC, 0)
        + COALESCE((pl.standalone_json -&gt;&gt; 'OtherIncome')::NUMERIC, 0)
    ) / 10000000, 2) AS income_calc_crore,
    ROUND((
        COALESCE((pl.standalone_json -&gt;&gt; 'InterestOrDiscountOnAdvancesOrBills')::NUMERIC, 0)
        + COALESCE((pl.standalone_json -&gt;&gt; 'RevenueOnInvestments')::NUMERIC, 0)
        + COALESCE((pl.standalone_json -&gt;&gt; 'InterestOnBalancesWithReserveBankOfIndiaAndOtherInterBankFunds')::NUMERIC, 0)
        + COALESCE((pl.standalone_json -&gt;&gt; 'OtherInterest')::NUMERIC, 0)
    ) / 10000000, 2) AS interest_earned_calc_crore
FROM public.profit_losses pl
JOIN public.company_profiles cp ON pl.stock_symbol = cp.stock_symbol
WHERE
    ((
        ROUND((pl.standalone_json -&gt;&gt; 'Income')::NUMERIC / 10000000, 2) &lt;&gt;
        ROUND((
            COALESCE((pl.standalone_json -&gt;&gt; 'InterestOrDiscountOnAdvancesOrBills')::NUMERIC, 0)
            + COALESCE((pl.standalone_json -&gt;&gt; 'RevenueOnInvestments')::NUMERIC, 0)
            + COALESCE((pl.standalone_json -&gt;&gt; 'InterestOnBalancesWithReserveBankOfIndiaAndOtherInterBankFunds')::NUMERIC, 0)
            + COALESCE((pl.standalone_json -&gt;&gt; 'OtherInterest')::NUMERIC, 0)
            + COALESCE((pl.standalone_json -&gt;&gt; 'OtherIncome')::NUMERIC, 0)
        ) / 10000000, 2)
    )
    OR
    (
        ROUND((pl.standalone_json -&gt;&gt; 'InterestEarned')::NUMERIC / 10000000, 2) &lt;&gt;
        ROUND((
            COALESCE((pl.standalone_json -&gt;&gt; 'InterestOrDiscountOnAdvancesOrBills')::NUMERIC, 0)
            + COALESCE((pl.standalone_json -&gt;&gt; 'RevenueOnInvestments')::NUMERIC, 0)
            + COALESCE((pl.standalone_json -&gt;&gt; 'InterestOnBalancesWithReserveBankOfIndiaAndOtherInterBankFunds')::NUMERIC, 0)
            + COALESCE((pl.standalone_json -&gt;&gt; 'OtherInterest')::NUMERIC, 0)
        ) / 10000000, 2)
    )) AND industry = 'Banks'
ORDER BY cp.market_cap DESC;</t>
  </si>
  <si>
    <t>SELECT
    pl.stock_symbol,
    pl.to_date,
    pl.period,
    pl.date_header,
    ROUND(cp.market_cap, 2) AS market_cap_crore,
    -- Print components
    ROUND((pl.consolidated_json -&gt;&gt; 'ExpenditureExcludingProvisionsAndContingencies')::NUMERIC / 10000000, 2) AS expenditure_excl_provisions_crore,
    ROUND((pl.consolidated_json -&gt;&gt; 'InterestExpended')::NUMERIC / 10000000, 2) AS interest_expended_crore,
    ROUND((pl.consolidated_json -&gt;&gt; 'EmployeesCost')::NUMERIC / 10000000, 2) AS employees_cost_crore,
    ROUND((pl.consolidated_json -&gt;&gt; 'OtherOperatingExpenses')::NUMERIC / 10000000, 2) AS other_operating_expenses_crore,
    -- Calculated sum for comparison
    ROUND((
        COALESCE((pl.consolidated_json -&gt;&gt; 'InterestExpended')::NUMERIC, 0)
        + COALESCE((pl.consolidated_json -&gt;&gt; 'EmployeesCost')::NUMERIC, 0)
        + COALESCE((pl.consolidated_json -&gt;&gt; 'OtherOperatingExpenses')::NUMERIC, 0)
    ) / 10000000, 2) AS expenditure_calc_crore
FROM public.profit_losses pl
JOIN public.company_profiles cp ON pl.stock_symbol = cp.stock_symbol
WHERE
    -- Compare in crore with 2 decimals
    ROUND((pl.consolidated_json -&gt;&gt; 'ExpenditureExcludingProvisionsAndContingencies')::NUMERIC / 10000000, 2) &lt;&gt;
    ROUND((
        COALESCE((pl.consolidated_json -&gt;&gt; 'InterestExpended')::NUMERIC, 0)
        + COALESCE((pl.consolidated_json -&gt;&gt; 'EmployeesCost')::NUMERIC, 0)
        + COALESCE((pl.consolidated_json -&gt;&gt; 'OtherOperatingExpenses')::NUMERIC, 0)
    ) / 10000000, 2)
ORDER BY cp.market_cap DESC;</t>
  </si>
  <si>
    <t>SELECT
    pl.stock_symbol,
    pl.to_date,
    pl.period,
    pl.date_header,
    ROUND(cp.market_cap, 2) AS market_cap_crore,
    -- Print components
    ROUND((pl.standalone_json -&gt;&gt; 'ExpenditureExcludingProvisionsAndContingencies')::NUMERIC / 10000000, 2) AS expenditure_excl_provisions_crore,
    ROUND((pl.standalone_json -&gt;&gt; 'InterestExpended')::NUMERIC / 10000000, 2) AS interest_expended_crore,
    ROUND((pl.standalone_json -&gt;&gt; 'EmployeesCost')::NUMERIC / 10000000, 2) AS employees_cost_crore,
    ROUND((pl.standalone_json -&gt;&gt; 'OtherOperatingExpenses')::NUMERIC / 10000000, 2) AS other_operating_expenses_crore,
    -- Calculated sum for comparison
    ROUND((
        COALESCE((pl.standalone_json -&gt;&gt; 'InterestExpended')::NUMERIC, 0)
        + COALESCE((pl.standalone_json -&gt;&gt; 'EmployeesCost')::NUMERIC, 0)
        + COALESCE((pl.standalone_json -&gt;&gt; 'OtherOperatingExpenses')::NUMERIC, 0)
    ) / 10000000, 2) AS expenditure_calc_crore
FROM public.profit_losses pl
JOIN public.company_profiles cp ON pl.stock_symbol = cp.stock_symbol
WHERE
    -- Compare in crore with 2 decimals
    ROUND((pl.standalone_json -&gt;&gt; 'ExpenditureExcludingProvisionsAndContingencies')::NUMERIC / 10000000, 2) &lt;&gt;
    ROUND((
        COALESCE((pl.standalone_json -&gt;&gt; 'InterestExpended')::NUMERIC, 0)
        + COALESCE((pl.standalone_json -&gt;&gt; 'EmployeesCost')::NUMERIC, 0)
        + COALESCE((pl.standalone_json -&gt;&gt; 'OtherOperatingExpenses')::NUMERIC, 0)
    ) / 10000000, 2)
ORDER BY cp.market_cap DESC;</t>
  </si>
  <si>
    <t>SELECT
    bs.stock_symbol,
    bs.to_date,
    bs.period,
    ROUND(cp.market_cap, 2) AS market_cap_crore,
    -- Capital &amp; Liabilities Components
    ROUND((bs.consolidated_json -&gt;&gt; 'Capital')::NUMERIC / 10000000, 2) AS capital_crore,
    ROUND((bs.consolidated_json -&gt;&gt; 'ReservesAndSurplus')::NUMERIC / 10000000, 2) AS reserves_surplus_crore,
    ROUND((bs.consolidated_json -&gt;&gt; 'Deposits')::NUMERIC / 10000000, 2) AS deposits_crore,
    ROUND((bs.consolidated_json -&gt;&gt; 'Borrowings')::NUMERIC / 10000000, 2) AS borrowings_crore,
    ROUND((bs.consolidated_json -&gt;&gt; 'OtherLiabilitiesAndProvisions')::NUMERIC / 10000000, 2) AS other_liabilities_crore,
    ROUND((bs.consolidated_json -&gt;&gt; 'CapitalAndLiabilities')::NUMERIC / 10000000, 2) AS capital_and_liabilities_crore,
    -- Asset Components
    ROUND((bs.consolidated_json -&gt;&gt; 'CashAndBalancesWithReserveBankOfIndia')::NUMERIC / 10000000, 2) AS cash_rbi_crore,
    ROUND((bs.consolidated_json -&gt;&gt; 'BalancesWithBanksAndMoneyAtCallAndShortNotice')::NUMERIC / 10000000, 2) AS balances_banks_crore,
    ROUND((bs.consolidated_json -&gt;&gt; 'Investments')::NUMERIC / 10000000, 2) AS investments_crore,
    ROUND((bs.consolidated_json -&gt;&gt; 'Advances')::NUMERIC / 10000000, 2) AS advances_crore,
    ROUND((bs.consolidated_json -&gt;&gt; 'FixedAssets')::NUMERIC / 10000000, 2) AS fixed_assets_crore,
    ROUND((bs.consolidated_json -&gt;&gt; 'OtherAssets')::NUMERIC / 10000000, 2) AS other_assets_crore,
    ROUND((bs.consolidated_json -&gt;&gt; 'Assets')::NUMERIC / 10000000, 2) AS assets_crore
FROM public.balance_sheets bs
JOIN public.company_profiles cp ON bs.stock_symbol = cp.stock_symbol
WHERE
    (-- Capital &amp; Liabilities sum mismatch
    ROUND((
        COALESCE((bs.consolidated_json -&gt;&gt; 'Capital')::NUMERIC, 0) +
        COALESCE((bs.consolidated_json -&gt;&gt; 'ReservesAndSurplus')::NUMERIC, 0) +
        COALESCE((bs.consolidated_json -&gt;&gt; 'Deposits')::NUMERIC, 0) +
        COALESCE((bs.consolidated_json -&gt;&gt; 'Borrowings')::NUMERIC, 0) +
        COALESCE((bs.consolidated_json -&gt;&gt; 'OtherLiabilitiesAndProvisions')::NUMERIC, 0)
    ) / 10000000, 2) &lt;&gt;
    ROUND((bs.consolidated_json -&gt;&gt; 'CapitalAndLiabilities')::NUMERIC / 10000000, 2)
    OR
    -- Asset sum mismatch
    ROUND((
        COALESCE((bs.consolidated_json -&gt;&gt; 'CashAndBalancesWithReserveBankOfIndia')::NUMERIC, 0) +
        COALESCE((bs.consolidated_json -&gt;&gt; 'BalancesWithBanksAndMoneyAtCallAndShortNotice')::NUMERIC, 0) +
        COALESCE((bs.consolidated_json -&gt;&gt; 'Investments')::NUMERIC, 0) +
        COALESCE((bs.consolidated_json -&gt;&gt; 'Advances')::NUMERIC, 0) +
        COALESCE((bs.consolidated_json -&gt;&gt; 'FixedAssets')::NUMERIC, 0) +
        COALESCE((bs.consolidated_json -&gt;&gt; 'OtherAssets')::NUMERIC, 0)
    ) / 10000000, 2) &lt;&gt;
    ROUND((bs.consolidated_json -&gt;&gt; 'Assets')::NUMERIC / 10000000, 2)
    OR
    -- Assets vs Capital &amp; Liabilities mismatch
    ROUND((bs.consolidated_json -&gt;&gt; 'Assets')::NUMERIC / 10000000, 2) &lt;&gt;
    ROUND((bs.consolidated_json -&gt;&gt; 'CapitalAndLiabilities')::NUMERIC / 10000000, 2)
	) AND industry = 'Banks'
ORDER BY cp.market_cap DESC;</t>
  </si>
  <si>
    <t>Banks</t>
  </si>
  <si>
    <t>SELECT
    bs.stock_symbol,
    bs.to_date,
    bs.period,
    ROUND(cp.market_cap, 2) AS market_cap_crore,
    -- Capital &amp; Liabilities Components
    ROUND((bs.standalone_json -&gt;&gt; 'Capital')::NUMERIC / 10000000, 2) AS capital_crore,
    ROUND((bs.standalone_json -&gt;&gt; 'ReservesAndSurplus')::NUMERIC / 10000000, 2) AS reserves_surplus_crore,
    ROUND((bs.standalone_json -&gt;&gt; 'Deposits')::NUMERIC / 10000000, 2) AS deposits_crore,
    ROUND((bs.standalone_json -&gt;&gt; 'Borrowings')::NUMERIC / 10000000, 2) AS borrowings_crore,
    ROUND((bs.standalone_json -&gt;&gt; 'OtherLiabilitiesAndProvisions')::NUMERIC / 10000000, 2) AS other_liabilities_crore,
    ROUND((bs.standalone_json -&gt;&gt; 'CapitalAndLiabilities')::NUMERIC / 10000000, 2) AS capital_and_liabilities_crore,
    -- Asset Components
    ROUND((bs.standalone_json -&gt;&gt; 'CashAndBalancesWithReserveBankOfIndia')::NUMERIC / 10000000, 2) AS cash_rbi_crore,
    ROUND((bs.standalone_json -&gt;&gt; 'BalancesWithBanksAndMoneyAtCallAndShortNotice')::NUMERIC / 10000000, 2) AS balances_banks_crore,
    ROUND((bs.standalone_json -&gt;&gt; 'Investments')::NUMERIC / 10000000, 2) AS investments_crore,
    ROUND((bs.standalone_json -&gt;&gt; 'Advances')::NUMERIC / 10000000, 2) AS advances_crore,
    ROUND((bs.standalone_json -&gt;&gt; 'FixedAssets')::NUMERIC / 10000000, 2) AS fixed_assets_crore,
    ROUND((bs.standalone_json -&gt;&gt; 'OtherAssets')::NUMERIC / 10000000, 2) AS other_assets_crore,
    ROUND((bs.standalone_json -&gt;&gt; 'Assets')::NUMERIC / 10000000, 2) AS assets_crore
FROM public.balance_sheets bs
JOIN public.company_profiles cp ON bs.stock_symbol = cp.stock_symbol
WHERE
    (-- Capital &amp; Liabilities sum mismatch
    ROUND((
        COALESCE((bs.standalone_json -&gt;&gt; 'Capital')::NUMERIC, 0) +
        COALESCE((bs.standalone_json -&gt;&gt; 'ReservesAndSurplus')::NUMERIC, 0) +
        COALESCE((bs.standalone_json -&gt;&gt; 'Deposits')::NUMERIC, 0) +
        COALESCE((bs.standalone_json -&gt;&gt; 'Borrowings')::NUMERIC, 0) +
        COALESCE((bs.standalone_json -&gt;&gt; 'OtherLiabilitiesAndProvisions')::NUMERIC, 0)
    ) / 10000000, 2) &lt;&gt;
    ROUND((bs.standalone_json -&gt;&gt; 'CapitalAndLiabilities')::NUMERIC / 10000000, 2)
    OR
    -- Asset sum mismatch
    ROUND((
        COALESCE((bs.standalone_json -&gt;&gt; 'CashAndBalancesWithReserveBankOfIndia')::NUMERIC, 0) +
        COALESCE((bs.standalone_json -&gt;&gt; 'BalancesWithBanksAndMoneyAtCallAndShortNotice')::NUMERIC, 0) +
        COALESCE((bs.standalone_json -&gt;&gt; 'Investments')::NUMERIC, 0) +
        COALESCE((bs.standalone_json -&gt;&gt; 'Advances')::NUMERIC, 0) +
        COALESCE((bs.standalone_json -&gt;&gt; 'FixedAssets')::NUMERIC, 0) +
        COALESCE((bs.standalone_json -&gt;&gt; 'OtherAssets')::NUMERIC, 0)
    ) / 10000000, 2) &lt;&gt;
    ROUND((bs.standalone_json -&gt;&gt; 'Assets')::NUMERIC / 10000000, 2)
    OR
    -- Assets vs Capital &amp; Liabilities mismatch
    ROUND((bs.standalone_json -&gt;&gt; 'Assets')::NUMERIC / 10000000, 2) &lt;&gt;
    ROUND((bs.standalone_json -&gt;&gt; 'CapitalAndLiabilities')::NUMERIC / 10000000, 2)
	) AND industry = 'Banks'
ORDER BY cp.market_cap DESC;</t>
  </si>
  <si>
    <t>Non-Banks</t>
  </si>
  <si>
    <t>Assets or Liability or Equity = 0</t>
  </si>
  <si>
    <t>All</t>
  </si>
  <si>
    <t>SELECT
    cf.stock_symbol,
    cf.to_date,
    cf.period,
    ROUND(COALESCE((cf.consolidated_json -&gt;&gt; 'CashFlowsFromUsedInInvestingActivities')::NUMERIC, 0) / 10000000, 2) AS InvestingCashFlow_crore,
    ROUND((
        COALESCE((cf.consolidated_json -&gt;&gt; 'CashFlowsFromLosingControlOfSubsidiariesOrOtherBusinessesClassifiedAsInvestingActivities')::NUMERIC, 0) +
        COALESCE((cf.consolidated_json -&gt;&gt; 'CashFlowsUsedInObtainingControlOfSubsidiariesOrOtherBusinessesClassifiedAsInvestingActivities')::NUMERIC, 0) +
        COALESCE((cf.consolidated_json -&gt;&gt; 'OtherCashReceiptsFromSalesOfEquityOrDebtInstrumentsOfOtherEntitiesClassifiedAsInvestingActivities')::NUMERIC, 0) +
        COALESCE((cf.consolidated_json -&gt;&gt; 'OtherCashPaymentsToAcquireEquityOrDebtInstrumentsOfOtherEntitiesClassifiedAsInvestingActivities')::NUMERIC, 0) +
        COALESCE((cf.consolidated_json -&gt;&gt; 'OtherCashReceiptsFromSalesOfInterestsInJointVenturesClassifiedAsInvestingActivities')::NUMERIC, 0) +
        COALESCE((cf.consolidated_json -&gt;&gt; 'OtherCashPaymentsToAcquireInterestsInJointVenturesClassifiedAsInvestingActivities')::NUMERIC, 0) +
        COALESCE((cf.consolidated_json -&gt;&gt; 'CashReceiptsFromFutureContractsForwardContractsOptionContractsAndSwapContractsClassifiedAsInvestingActivities')::NUMERIC, 0) +
        COALESCE((cf.consolidated_json -&gt;&gt; 'CashReceiptsFromShareOfProfitsOfPartnershipFirmOrAssociationOfPersonsOrLimitedLiabilityPartnerships')::NUMERIC, 0) +
        COALESCE((cf.consolidated_json -&gt;&gt; 'ProceedsFromSalesOfPropertyPlantAndEquipmentClassifiedAsInvestingActivities')::NUMERIC, 0) +
        COALESCE((cf.consolidated_json -&gt;&gt; 'PurchaseOfPropertyPlantAndEquipmentClassifiedAsInvestingActivities')::NUMERIC, 0) +
        COALESCE((cf.consolidated_json -&gt;&gt; 'ProceedsFromSalesOfInvestmentPropertyClassifiedAsInvestingActivities')::NUMERIC, 0) +
        COALESCE((cf.consolidated_json -&gt;&gt; 'PurchaseOfInvestmentPropertyClassifiedAsInvestingActivities')::NUMERIC, 0) +
        COALESCE((cf.consolidated_json -&gt;&gt; 'ProceedsFromSalesOfGoodwillClassifiedAsInvestingActivities')::NUMERIC, 0) +
        COALESCE((cf.consolidated_json -&gt;&gt; 'PurchaseOfGoodwillClassifiedAsInvestingActivities')::NUMERIC, 0) +
        COALESCE((cf.consolidated_json -&gt;&gt; 'ProceedsFromSalesOfIntangibleAssetsUnderDevelopment')::NUMERIC, 0) +
        COALESCE((cf.consolidated_json -&gt;&gt; 'PurchaseOfIntangibleAssetsUnderDevelopment')::NUMERIC, 0) +
        COALESCE((cf.consolidated_json -&gt;&gt; 'ProceedsFromSalesOfTangibleAssetsClassifiedAsInvestingActivities')::NUMERIC, 0) +
        COALESCE((cf.consolidated_json -&gt;&gt; 'PurchaseOfTangibleAssetsClassifiedAsInvestingActivities')::NUMERIC, 0) +
        COALESCE((cf.consolidated_json -&gt;&gt; 'ProceedsFromSalesOfIntangibleAssetsClassifiedAsInvestingActivities')::NUMERIC, 0) +
        COALESCE((cf.consolidated_json -&gt;&gt; 'PurchaseOfIntangibleAssetsClassifiedAsInvestingActivities')::NUMERIC, 0) +
        COALESCE((cf.consolidated_json -&gt;&gt; 'ProceedsFromBiologicalAssetsOtherThanBearerPlantsClassifiedAsInvestingActivities')::NUMERIC, 0) +
        COALESCE((cf.consolidated_json -&gt;&gt; 'PurchaseOfBiologicalAssetsOtherThanBearerPlantsClassifiedAsInvestingActivities')::NUMERIC, 0) +
        COALESCE((cf.consolidated_json -&gt;&gt; 'ProceedsFromSalesOfOtherLongTermAssetsClassifiedAsInvestingActivities')::NUMERIC, 0) +
        COALESCE((cf.consolidated_json -&gt;&gt; 'PurchaseOfOtherLongTermAssetsClassifiedAsInvestingActivities')::NUMERIC, 0) +
        COALESCE((cf.consolidated_json -&gt;&gt; 'CashAdvancesAndLoansMadeToOtherPartiesClassifiedAsInvestingActivities')::NUMERIC, 0) +
        COALESCE((cf.consolidated_json -&gt;&gt; 'CashReceiptsFromRepaymentOfAdvancesAndLoansMadeToOtherPartiesClassifiedAsInvestingActivities')::NUMERIC, 0) +
        COALESCE((cf.consolidated_json -&gt;&gt; 'CashPaymentsForFutureContractsForwardContractsOptionContractsAndSwapContractsClassifiedAsInvestingActivities')::NUMERIC, 0) +
        COALESCE((cf.consolidated_json -&gt;&gt; 'CashPaymentForInvestmentInPartnershipFirmOrAssociationOfPersonsOrLimitedLiabilityPartnerships')::NUMERIC, 0) +
        COALESCE((cf.consolidated_json -&gt;&gt; 'DividendsReceivedClassifiedAsInvestingActivities')::NUMERIC, 0) +
        COALESCE((cf.consolidated_json -&gt;&gt; 'InterestReceivedClassifiedAsInvestingActivities')::NUMERIC, 0) +
        COALESCE((cf.consolidated_json -&gt;&gt; 'IncomeTaxesPaidRefundClassifiedAsInvestingActivities')::NUMERIC, 0) +
        COALESCE((cf.consolidated_json -&gt;&gt; 'OtherInflowsOutflowsOfCashClassifiedAsInvestingActivities')::NUMERIC, 0) +
        COALESCE((cf.consolidated_json -&gt;&gt; 'ProceedsFromGovernmentGrantsClassifiedAsInvestingActivities')::NUMERIC, 0) +
        COALESCE((cf.consolidated_json -&gt;&gt; 'ProceedsFromExtraordinaryItemsClassifiedAsInvestingActivities')::NUMERIC, 0) +
        COALESCE((cf.consolidated_json -&gt;&gt; 'PaymentForExtraordinaryItemsClassifiedAsInvestingActivities')::NUMERIC, 0)
    ) / 10000000, 2) AS InvestingComponentsSum_crore
FROM public.cash_flows cf
JOIN public.company_profiles cp ON cf.stock_symbol = cp.stock_symbol
WHERE
    ROUND(COALESCE((cf.consolidated_json -&gt;&gt; 'CashFlowsFromUsedInInvestingActivities')::NUMERIC, 0) / 10000000, 2)
    &lt;&gt;
    ROUND((
        COALESCE((cf.consolidated_json -&gt;&gt; 'CashFlowsFromLosingControlOfSubsidiariesOrOtherBusinessesClassifiedAsInvestingActivities')::NUMERIC, 0) +
        COALESCE((cf.consolidated_json -&gt;&gt; 'CashFlowsUsedInObtainingControlOfSubsidiariesOrOtherBusinessesClassifiedAsInvestingActivities')::NUMERIC, 0) +
        COALESCE((cf.consolidated_json -&gt;&gt; 'OtherCashReceiptsFromSalesOfEquityOrDebtInstrumentsOfOtherEntitiesClassifiedAsInvestingActivities')::NUMERIC, 0) +
        COALESCE((cf.consolidated_json -&gt;&gt; 'OtherCashPaymentsToAcquireEquityOrDebtInstrumentsOfOtherEntitiesClassifiedAsInvestingActivities')::NUMERIC, 0) +
        COALESCE((cf.consolidated_json -&gt;&gt; 'OtherCashReceiptsFromSalesOfInterestsInJointVenturesClassifiedAsInvestingActivities')::NUMERIC, 0) +
        COALESCE((cf.consolidated_json -&gt;&gt; 'OtherCashPaymentsToAcquireInterestsInJointVenturesClassifiedAsInvestingActivities')::NUMERIC, 0) +
        COALESCE((cf.consolidated_json -&gt;&gt; 'CashReceiptsFromFutureContractsForwardContractsOptionContractsAndSwapContractsClassifiedAsInvestingActivities')::NUMERIC, 0) +
        COALESCE((cf.consolidated_json -&gt;&gt; 'CashReceiptsFromShareOfProfitsOfPartnershipFirmOrAssociationOfPersonsOrLimitedLiabilityPartnerships')::NUMERIC, 0) +
        COALESCE((cf.consolidated_json -&gt;&gt; 'ProceedsFromSalesOfPropertyPlantAndEquipmentClassifiedAsInvestingActivities')::NUMERIC, 0) +
        COALESCE((cf.consolidated_json -&gt;&gt; 'PurchaseOfPropertyPlantAndEquipmentClassifiedAsInvestingActivities')::NUMERIC, 0) +
        COALESCE((cf.consolidated_json -&gt;&gt; 'ProceedsFromSalesOfInvestmentPropertyClassifiedAsInvestingActivities')::NUMERIC, 0) +
        COALESCE((cf.consolidated_json -&gt;&gt; 'PurchaseOfInvestmentPropertyClassifiedAsInvestingActivities')::NUMERIC, 0) +
        COALESCE((cf.consolidated_json -&gt;&gt; 'ProceedsFromSalesOfGoodwillClassifiedAsInvestingActivities')::NUMERIC, 0) +
        COALESCE((cf.consolidated_json -&gt;&gt; 'PurchaseOfGoodwillClassifiedAsInvestingActivities')::NUMERIC, 0) +
        COALESCE((cf.consolidated_json -&gt;&gt; 'ProceedsFromSalesOfIntangibleAssetsUnderDevelopment')::NUMERIC, 0) +
        COALESCE((cf.consolidated_json -&gt;&gt; 'PurchaseOfIntangibleAssetsUnderDevelopment')::NUMERIC, 0) +
        COALESCE((cf.consolidated_json -&gt;&gt; 'ProceedsFromSalesOfTangibleAssetsClassifiedAsInvestingActivities')::NUMERIC, 0) +
        COALESCE((cf.consolidated_json -&gt;&gt; 'PurchaseOfTangibleAssetsClassifiedAsInvestingActivities')::NUMERIC, 0) +
        COALESCE((cf.consolidated_json -&gt;&gt; 'ProceedsFromSalesOfIntangibleAssetsClassifiedAsInvestingActivities')::NUMERIC, 0) +
        COALESCE((cf.consolidated_json -&gt;&gt; 'PurchaseOfIntangibleAssetsClassifiedAsInvestingActivities')::NUMERIC, 0) +
        COALESCE((cf.consolidated_json -&gt;&gt; 'ProceedsFromBiologicalAssetsOtherThanBearerPlantsClassifiedAsInvestingActivities')::NUMERIC, 0) +
        COALESCE((cf.consolidated_json -&gt;&gt; 'PurchaseOfBiologicalAssetsOtherThanBearerPlantsClassifiedAsInvestingActivities')::NUMERIC, 0) +
        COALESCE((cf.consolidated_json -&gt;&gt; 'ProceedsFromSalesOfOtherLongTermAssetsClassifiedAsInvestingActivities')::NUMERIC, 0) +
        COALESCE((cf.consolidated_json -&gt;&gt; 'PurchaseOfOtherLongTermAssetsClassifiedAsInvestingActivities')::NUMERIC, 0) +
        COALESCE((cf.consolidated_json -&gt;&gt; 'CashAdvancesAndLoansMadeToOtherPartiesClassifiedAsInvestingActivities')::NUMERIC, 0) +
        COALESCE((cf.consolidated_json -&gt;&gt; 'CashReceiptsFromRepaymentOfAdvancesAndLoansMadeToOtherPartiesClassifiedAsInvestingActivities')::NUMERIC, 0) +
        COALESCE((cf.consolidated_json -&gt;&gt; 'CashPaymentsForFutureContractsForwardContractsOptionContractsAndSwapContractsClassifiedAsInvestingActivities')::NUMERIC, 0) +
        COALESCE((cf.consolidated_json -&gt;&gt; 'CashPaymentForInvestmentInPartnershipFirmOrAssociationOfPersonsOrLimitedLiabilityPartnerships')::NUMERIC, 0) +
        COALESCE((cf.consolidated_json -&gt;&gt; 'DividendsReceivedClassifiedAsInvestingActivities')::NUMERIC, 0) +
        COALESCE((cf.consolidated_json -&gt;&gt; 'InterestReceivedClassifiedAsInvestingActivities')::NUMERIC, 0) +
        COALESCE((cf.consolidated_json -&gt;&gt; 'IncomeTaxesPaidRefundClassifiedAsInvestingActivities')::NUMERIC, 0) +
        COALESCE((cf.consolidated_json -&gt;&gt; 'OtherInflowsOutflowsOfCashClassifiedAsInvestingActivities')::NUMERIC, 0) +
        COALESCE((cf.consolidated_json -&gt;&gt; 'ProceedsFromGovernmentGrantsClassifiedAsInvestingActivities')::NUMERIC, 0) +
        COALESCE((cf.consolidated_json -&gt;&gt; 'ProceedsFromExtraordinaryItemsClassifiedAsInvestingActivities')::NUMERIC, 0) +
        COALESCE((cf.consolidated_json -&gt;&gt; 'PaymentForExtraordinaryItemsClassifiedAsInvestingActivities')::NUMERIC, 0)
    ) / 10000000, 2)
ORDER BY cp.market_cap DESC;</t>
  </si>
  <si>
    <t>SELECT
    cf.stock_symbol,
    cf.to_date,
    cf.period,
    ROUND(COALESCE((cf.standalone_json -&gt;&gt; 'CashFlowsFromUsedInOperatingActivities')::NUMERIC, 0) / 10000000, 2) AS OperatingCashFlow_cr,
    ROUND(COALESCE((cf.standalone_json -&gt;&gt; 'CashFlowsFromUsedInInvestingActivities')::NUMERIC, 0) / 10000000, 2) AS InvestingCashFlow_cr,
    ROUND(COALESCE((cf.standalone_json -&gt;&gt; 'CashFlowsFromUsedInFinancingActivities')::NUMERIC, 0) / 10000000, 2) AS FinancingCashFlow_cr,
    ROUND(COALESCE((cf.standalone_json -&gt;&gt; 'IncreaseDecreaseInCashAndCashEquivalents')::NUMERIC, 0) / 10000000, 2) AS NetChangeInCash_cr,
    ROUND(
        (
            COALESCE((cf.standalone_json -&gt;&gt; 'CashFlowsFromUsedInOperatingActivities')::NUMERIC, 0) +
            COALESCE((cf.standalone_json -&gt;&gt; 'CashFlowsFromUsedInInvestingActivities')::NUMERIC, 0) +
            COALESCE((cf.standalone_json -&gt;&gt; 'CashFlowsFromUsedInFinancingActivities')::NUMERIC, 0)
        ) / 10000000, 2
    ) AS ComputedNetChangeInCash_cr,
    ROUND(
        (
            (
                COALESCE((cf.standalone_json -&gt;&gt; 'CashFlowsFromUsedInOperatingActivities')::NUMERIC, 0) +
                COALESCE((cf.standalone_json -&gt;&gt; 'CashFlowsFromUsedInInvestingActivities')::NUMERIC, 0) +
                COALESCE((cf.standalone_json -&gt;&gt; 'CashFlowsFromUsedInFinancingActivities')::NUMERIC, 0)
            ) -
            COALESCE((cf.standalone_json -&gt;&gt; 'IncreaseDecreaseInCashAndCashEquivalents')::NUMERIC, 0)
        ) / 10000000, 2
    ) AS Difference_cr
FROM public.cash_flows cf
WHERE
    ABS(
        ROUND(
            (
                (
                    COALESCE((cf.standalone_json -&gt;&gt; 'CashFlowsFromUsedInOperatingActivities')::NUMERIC, 0) +
                    COALESCE((cf.standalone_json -&gt;&gt; 'CashFlowsFromUsedInInvestingActivities')::NUMERIC, 0) +
                    COALESCE((cf.standalone_json -&gt;&gt; 'CashFlowsFromUsedInFinancingActivities')::NUMERIC, 0)+
					COALESCE((cf.standalone_json -&gt;&gt; 'EffectOfExchangeRateChangesOnCashAndCashEquivalents')::NUMERIC, 0)
                ) -
                COALESCE((cf.standalone_json -&gt;&gt; 'IncreaseDecreaseInCashAndCashEquivalents')::NUMERIC, 0)
            ) / 10000000, 2
        )
    ) &gt; 1
ORDER BY cf.to_date DESC;</t>
  </si>
  <si>
    <t>SELECT
    cf.stock_symbol,
    cf.to_date,
    cf.period,
    ROUND(COALESCE((cf.consolidated_json -&gt;&gt; 'CashFlowsFromUsedInOperatingActivities')::NUMERIC, 0) / 10000000, 2) AS OperatingCashFlow_cr,
    ROUND(COALESCE((cf.consolidated_json -&gt;&gt; 'CashFlowsFromUsedInInvestingActivities')::NUMERIC, 0) / 10000000, 2) AS InvestingCashFlow_cr,
    ROUND(COALESCE((cf.consolidated_json -&gt;&gt; 'CashFlowsFromUsedInFinancingActivities')::NUMERIC, 0) / 10000000, 2) AS FinancingCashFlow_cr,
    ROUND(COALESCE((cf.consolidated_json -&gt;&gt; 'IncreaseDecreaseInCashAndCashEquivalents')::NUMERIC, 0) / 10000000, 2) AS NetChangeInCash_cr,
    ROUND(
        (
            COALESCE((cf.consolidated_json -&gt;&gt; 'CashFlowsFromUsedInOperatingActivities')::NUMERIC, 0) +
            COALESCE((cf.consolidated_json -&gt;&gt; 'CashFlowsFromUsedInInvestingActivities')::NUMERIC, 0) +
            COALESCE((cf.consolidated_json -&gt;&gt; 'CashFlowsFromUsedInFinancingActivities')::NUMERIC, 0)
        ) / 10000000, 2
    ) AS ComputedNetChangeInCash_cr,
    ROUND(
        (
            (
                COALESCE((cf.consolidated_json -&gt;&gt; 'CashFlowsFromUsedInOperatingActivities')::NUMERIC, 0) +
                COALESCE((cf.consolidated_json -&gt;&gt; 'CashFlowsFromUsedInInvestingActivities')::NUMERIC, 0) +
                COALESCE((cf.consolidated_json -&gt;&gt; 'CashFlowsFromUsedInFinancingActivities')::NUMERIC, 0)
            ) -
            COALESCE((cf.consolidated_json -&gt;&gt; 'IncreaseDecreaseInCashAndCashEquivalents')::NUMERIC, 0)
        ) / 10000000, 2
    ) AS Difference_cr
FROM public.cash_flows cf
WHERE
    ABS(
        ROUND(
            (
                (
                    COALESCE((cf.consolidated_json -&gt;&gt; 'CashFlowsFromUsedInOperatingActivities')::NUMERIC, 0) +
                    COALESCE((cf.consolidated_json -&gt;&gt; 'CashFlowsFromUsedInInvestingActivities')::NUMERIC, 0) +
                    COALESCE((cf.consolidated_json -&gt;&gt; 'CashFlowsFromUsedInFinancingActivities')::NUMERIC, 0)+
					COALESCE((cf.consolidated_json -&gt;&gt; 'EffectOfExchangeRateChangesOnCashAndCashEquivalents')::NUMERIC, 0)
                ) -
                COALESCE((cf.consolidated_json -&gt;&gt; 'IncreaseDecreaseInCashAndCashEquivalents')::NUMERIC, 0)
            ) / 10000000, 2
        )
    ) &gt; 1
ORDER BY cf.to_date DESC;</t>
  </si>
  <si>
    <t>Annual</t>
  </si>
  <si>
    <t>Comments</t>
  </si>
  <si>
    <t>SELECT
    pl.stock_symbol,
    pl.to_date,
    pl.period,
    pl.date_header,
    ROUND(cp.market_cap, 2) AS market_cap_crore,
    -- Print all required fields in crore
    ROUND((pl.standalone_json -&gt;&gt; 'Income')::NUMERIC / 10000000, 2) AS income_crore,
    ROUND((pl.standalone_json -&gt;&gt; 'InterestEarned')::NUMERIC / 10000000, 2) AS interest_earned_crore,
    ROUND((pl.standalone_json -&gt;&gt; 'InterestOrDiscountOnAdvancesOrBills')::NUMERIC / 10000000, 2) AS interest_or_discount_on_advances_or_bills_crore,
    ROUND((pl.standalone_json -&gt;&gt; 'RevenueOnInvestments')::NUMERIC / 10000000, 2) AS revenue_on_investments_crore,
    ROUND((pl.standalone_json -&gt;&gt; 'InterestOnBalancesWithReserveBankOfIndiaAndOtherInterBankFunds')::NUMERIC / 10000000, 2) AS interest_on_rbi_and_interbank_crore,
    ROUND((pl.standalone_json -&gt;&gt; 'OtherInterest')::NUMERIC / 10000000, 2) AS other_interest_crore,
    ROUND((pl.standalone_json -&gt;&gt; 'OtherIncome')::NUMERIC / 10000000, 2) AS other_income_crore,
    ROUND((pl.standalone_json -&gt;&gt; 'ExpenditureExcludingProvisionsAndContingencies')::NUMERIC / 10000000, 2) AS expenditure_excl_provisions_crore,
    ROUND((pl.standalone_json -&gt;&gt; 'InterestExpended')::NUMERIC / 10000000, 2) AS interest_expended_crore,
    ROUND((pl.standalone_json -&gt;&gt; 'EmployeesCost')::NUMERIC / 10000000, 2) AS employees_cost_crore,
    ROUND((pl.standalone_json -&gt;&gt; 'OtherOperatingExpenses')::NUMERIC / 10000000, 2) AS other_operating_expenses_crore,
    ROUND((pl.standalone_json -&gt;&gt; 'ProvisionsOtherThanTaxAndContingencies')::NUMERIC / 10000000, 2) AS provisions_other_than_tax_crore,
    ROUND((pl.standalone_json -&gt;&gt; 'ExceptionalItems')::NUMERIC / 10000000, 2) AS exceptional_items_crore,
    ROUND((pl.standalone_json -&gt;&gt; 'ProfitLossFromOrdinaryActivitiesBeforeTax')::NUMERIC / 10000000, 2) AS profit_loss_before_tax_crore,
    ROUND((pl.standalone_json -&gt;&gt; 'ExtraordinaryItems')::NUMERIC / 10000000, 2) AS extraordinary_items_crore,
    ROUND((pl.standalone_json -&gt;&gt; 'TaxExpense')::NUMERIC / 10000000, 2) AS tax_expense_crore,
    ROUND((pl.standalone_json -&gt;&gt; 'ProfitLossForThePeriod')::NUMERIC / 10000000, 2) AS profit_loss_for_period_crore,
    ROUND((pl.standalone_json -&gt;&gt; 'ShareOfProfitLossOfAssociates')::NUMERIC / 10000000, 2) AS share_of_profit_loss_of_associates_crore,
    ROUND((pl.standalone_json -&gt;&gt; 'ProfitLossOfMinorityInterest')::NUMERIC / 10000000, 2) AS profit_loss_of_minority_interest_crore,
    ROUND((pl.standalone_json -&gt;&gt; 'ProfitLossAfterTaxesMinorityInterestAndShareOfProfitLossOfAssociates')::NUMERIC / 10000000, 2) AS profit_loss_after_taxes_minority_share_crore,
    -- Add calculated profit_loss_calc for comparison
    ROUND((
        (pl.standalone_json -&gt;&gt; 'Income')::NUMERIC
        - (pl.standalone_json -&gt;&gt; 'ExpenditureExcludingProvisionsAndContingencies')::NUMERIC
        - COALESCE((pl.standalone_json -&gt;&gt; 'ProvisionsOtherThanTaxAndContingencies')::NUMERIC, 0)
        + COALESCE((pl.standalone_json -&gt;&gt; 'ExceptionalItems')::NUMERIC, 0)
        + COALESCE((pl.standalone_json -&gt;&gt; 'ExtraordinaryItems')::NUMERIC, 0)
        - (pl.standalone_json -&gt;&gt; 'TaxExpense')::NUMERIC
    ) / 10000000, 2) AS profit_loss_calc_crore
FROM public.profit_losses pl
JOIN public.company_profiles cp ON pl.stock_symbol = cp.stock_symbol
WHERE
    -- Comparison of calculated profit vs. ProfitLossForPeriod
    ROUND((
        (pl.standalone_json -&gt;&gt; 'Income')::NUMERIC
        - (pl.standalone_json -&gt;&gt; 'ExpenditureExcludingProvisionsAndContingencies')::NUMERIC
        - COALESCE((pl.standalone_json -&gt;&gt; 'ProvisionsOtherThanTaxAndContingencies')::NUMERIC, 0)
        + COALESCE((pl.standalone_json -&gt;&gt; 'ExceptionalItems')::NUMERIC, 0)
        + COALESCE((pl.standalone_json -&gt;&gt; 'ExtraordinaryItems')::NUMERIC, 0)
        - (pl.standalone_json -&gt;&gt; 'TaxExpense')::NUMERIC
    ) / 10000000, 2)
    &lt;&gt; ROUND((pl.standalone_json -&gt;&gt; 'ProfitLossForThePeriod')::NUMERIC / 10000000, 2)
ORDER BY cp.market_cap DESC;</t>
  </si>
  <si>
    <t>SELECT
    bs.stock_symbol,
    bs.to_date,
    bs.period,
    ROUND(cp.market_cap, 2) AS market_cap_crore,
    ROUND((bs.standalone_json -&gt;&gt; 'TradePayablesCurrent')::NUMERIC / 10000000, 2) AS TradePayablesCurrent_crore,
    ROUND((bs.standalone_json -&gt;&gt; 'OutstandingDuesOfCreditorsOtherThanMicroEnterprisesAndSmallEnterprises')::NUMERIC / 10000000, 2) AS OutstandingDues_OtherThanMicro_crore,
    ROUND((bs.standalone_json -&gt;&gt; 'OutstandingDuesOfMicroEnterprisesAndSmallEnterprises')::NUMERIC / 10000000, 2) AS OutstandingDues_Micro_crore,
    ROUND((bs.standalone_json -&gt;&gt; 'TotalOutstandingDuesOfMicroEnterpriseAndSmallEnterprise')::NUMERIC / 10000000, 2) AS TotalDues_Micro_crore,
    ROUND((bs.standalone_json -&gt;&gt; 'TotalOutstandingDuesOfCreditorsOtherThanMicroEnterpriseAndSmallEnterprise')::NUMERIC / 10000000, 2) AS TotalDues_OtherThanMicro_crore,
    ROUND((bs.standalone_json -&gt;&gt; 'TotalOutstandingDuesOfMicroEnterpriseAndSmallEnterpriseOtherPayables')::NUMERIC / 10000000, 2) AS TotalDues_Micro_OtherPayables_crore,
    ROUND((bs.standalone_json -&gt;&gt; 'TotalOutstandingDuesOfCreditorsOtherThanMicroEnterpriseAndSmallEnterpriseOtherPayables')::NUMERIC / 10000000, 2) AS TotalDues_OtherThanMicro_OtherPayables_crore,
    ROUND((bs.standalone_json -&gt;&gt; 'TotalOutstandingDuesOfMicroEnterprisesAndSmallEnterprises')::NUMERIC / 10000000, 2) AS TotalDues_MicroAlt_crore,
    ROUND((bs.standalone_json -&gt;&gt; 'TotalOutstandingDuesOfCreditorsOtherThanMicroEnterprisesAndSmallEnterprises')::NUMERIC / 10000000, 2) AS TotalDues_OtherThanMicroAlt_crore,
    ROUND((bs.standalone_json -&gt;&gt; 'TotalOutstandingDuesOfCreditorsOtherThanMicroEnterpriseAndSmallEnterpriseCurrent')::NUMERIC / 10000000, 2) AS TotalDues_OtherThanMicroCurrent_crore
FROM public.balance_sheets bs
JOIN public.company_profiles cp ON bs.stock_symbol = cp.stock_symbol
WHERE (
    ROUND((bs.standalone_json -&gt;&gt; 'TradePayablesCurrent')::NUMERIC / 10000000, 2) =
    ANY (ARRAY[
        ROUND((bs.standalone_json -&gt;&gt; 'OutstandingDuesOfCreditorsOtherThanMicroEnterprisesAndSmallEnterprises')::NUMERIC / 10000000, 2),
        ROUND((bs.standalone_json -&gt;&gt; 'OutstandingDuesOfMicroEnterprisesAndSmallEnterprises')::NUMERIC / 10000000, 2),
        ROUND((bs.standalone_json -&gt;&gt; 'TotalOutstandingDuesOfMicroEnterpriseAndSmallEnterprise')::NUMERIC / 10000000, 2),
        ROUND((bs.standalone_json -&gt;&gt; 'TotalOutstandingDuesOfCreditorsOtherThanMicroEnterpriseAndSmallEnterprise')::NUMERIC / 10000000, 2),
        ROUND((bs.standalone_json -&gt;&gt; 'TotalOutstandingDuesOfMicroEnterpriseAndSmallEnterpriseOtherPayables')::NUMERIC / 10000000, 2),
        ROUND((bs.standalone_json -&gt;&gt; 'TotalOutstandingDuesOfCreditorsOtherThanMicroEnterpriseAndSmallEnterpriseOtherPayables')::NUMERIC / 10000000, 2),
        ROUND((bs.standalone_json -&gt;&gt; 'TotalOutstandingDuesOfMicroEnterprisesAndSmallEnterprises')::NUMERIC / 10000000, 2),
        ROUND((bs.standalone_json -&gt;&gt; 'TotalOutstandingDuesOfCreditorsOtherThanMicroEnterprisesAndSmallEnterprises')::NUMERIC / 10000000, 2),
        ROUND((bs.standalone_json -&gt;&gt; 'TotalOutstandingDuesOfCreditorsOtherThanMicroEnterpriseAndSmallEnterpriseCurrent')::NUMERIC / 10000000, 2)
    ])
)
AND cp.industry &lt;&gt; 'Banks' AND 
ROUND((bs.standalone_json -&gt;&gt; 'TradePayablesCurrent')::NUMERIC / 10000000, 2) IS NOT NULL
AND ROUND((bs.standalone_json -&gt;&gt; 'TradePayablesCurrent')::NUMERIC / 10000000, 2) &lt;&gt; 0
ORDER BY cp.market_cap DESC;</t>
  </si>
  <si>
    <t>SELECT
    bs.stock_symbol,
    bs.to_date,
    bs.period,
    ROUND(cp.market_cap, 2) AS market_cap_crore,
    ROUND((bs.consolidated_json -&gt;&gt; 'TradePayablesCurrent')::NUMERIC / 10000000, 2) AS TradePayablesCurrent_crore,
    ROUND((bs.consolidated_json -&gt;&gt; 'OutstandingDuesOfCreditorsOtherThanMicroEnterprisesAndSmallEnterprises')::NUMERIC / 10000000, 2) AS OutstandingDues_OtherThanMicro_crore,
    ROUND((bs.consolidated_json -&gt;&gt; 'OutstandingDuesOfMicroEnterprisesAndSmallEnterprises')::NUMERIC / 10000000, 2) AS OutstandingDues_Micro_crore,
    ROUND((bs.consolidated_json -&gt;&gt; 'TotalOutstandingDuesOfMicroEnterpriseAndSmallEnterprise')::NUMERIC / 10000000, 2) AS TotalDues_Micro_crore,
    ROUND((bs.consolidated_json -&gt;&gt; 'TotalOutstandingDuesOfCreditorsOtherThanMicroEnterpriseAndSmallEnterprise')::NUMERIC / 10000000, 2) AS TotalDues_OtherThanMicro_crore,
    ROUND((bs.consolidated_json -&gt;&gt; 'TotalOutstandingDuesOfMicroEnterpriseAndSmallEnterpriseOtherPayables')::NUMERIC / 10000000, 2) AS TotalDues_Micro_OtherPayables_crore,
    ROUND((bs.consolidated_json -&gt;&gt; 'TotalOutstandingDuesOfCreditorsOtherThanMicroEnterpriseAndSmallEnterpriseOtherPayables')::NUMERIC / 10000000, 2) AS TotalDues_OtherThanMicro_OtherPayables_crore,
    ROUND((bs.consolidated_json -&gt;&gt; 'TotalOutstandingDuesOfMicroEnterprisesAndSmallEnterprises')::NUMERIC / 10000000, 2) AS TotalDues_MicroAlt_crore,
    ROUND((bs.consolidated_json -&gt;&gt; 'TotalOutstandingDuesOfCreditorsOtherThanMicroEnterprisesAndSmallEnterprises')::NUMERIC / 10000000, 2) AS TotalDues_OtherThanMicroAlt_crore,
    ROUND((bs.consolidated_json -&gt;&gt; 'TotalOutstandingDuesOfCreditorsOtherThanMicroEnterpriseAndSmallEnterpriseCurrent')::NUMERIC / 10000000, 2) AS TotalDues_OtherThanMicroCurrent_crore
FROM public.balance_sheets bs
JOIN public.company_profiles cp ON bs.stock_symbol = cp.stock_symbol
WHERE (
    ROUND((bs.consolidated_json -&gt;&gt; 'TradePayablesCurrent')::NUMERIC / 10000000, 2) =
    ANY (ARRAY[
        ROUND((bs.consolidated_json -&gt;&gt; 'OutstandingDuesOfCreditorsOtherThanMicroEnterprisesAndSmallEnterprises')::NUMERIC / 10000000, 2),
        ROUND((bs.consolidated_json -&gt;&gt; 'OutstandingDuesOfMicroEnterprisesAndSmallEnterprises')::NUMERIC / 10000000, 2),
        ROUND((bs.consolidated_json -&gt;&gt; 'TotalOutstandingDuesOfMicroEnterpriseAndSmallEnterprise')::NUMERIC / 10000000, 2),
        ROUND((bs.consolidated_json -&gt;&gt; 'TotalOutstandingDuesOfCreditorsOtherThanMicroEnterpriseAndSmallEnterprise')::NUMERIC / 10000000, 2),
        ROUND((bs.consolidated_json -&gt;&gt; 'TotalOutstandingDuesOfMicroEnterpriseAndSmallEnterpriseOtherPayables')::NUMERIC / 10000000, 2),
        ROUND((bs.consolidated_json -&gt;&gt; 'TotalOutstandingDuesOfCreditorsOtherThanMicroEnterpriseAndSmallEnterpriseOtherPayables')::NUMERIC / 10000000, 2),
        ROUND((bs.consolidated_json -&gt;&gt; 'TotalOutstandingDuesOfMicroEnterprisesAndSmallEnterprises')::NUMERIC / 10000000, 2),
        ROUND((bs.consolidated_json -&gt;&gt; 'TotalOutstandingDuesOfCreditorsOtherThanMicroEnterprisesAndSmallEnterprises')::NUMERIC / 10000000, 2),
        ROUND((bs.consolidated_json -&gt;&gt; 'TotalOutstandingDuesOfCreditorsOtherThanMicroEnterpriseAndSmallEnterpriseCurrent')::NUMERIC / 10000000, 2)
    ])
)
AND cp.industry &lt;&gt; 'Banks' AND 
ROUND((bs.consolidated_json -&gt;&gt; 'TradePayablesCurrent')::NUMERIC / 10000000, 2) IS NOT NULL
AND ROUND((bs.consolidated_json -&gt;&gt; 'TradePayablesCurrent')::NUMERIC / 10000000, 2) &lt;&gt; 0
ORDER BY cp.market_cap DESC;</t>
  </si>
  <si>
    <t>SELECT 
    bs.stock_symbol,
	cp.market_cap,
    bs.period, 
    bs.date_header,
    bs.standalone_json -&gt;&gt; 'Assets' AS assets,
    bs.standalone_json -&gt;&gt; 'Liabilities' AS liabilities
FROM public.balance_sheets bs
JOIN public.company_profiles cp ON bs.stock_symbol = cp.stock_symbol
WHERE 
    ((bs.standalone_json -&gt;&gt; 'Assets') IS NULL
    OR (bs.standalone_json -&gt;&gt; 'Assets') = ''
    OR (bs.standalone_json -&gt;&gt; 'Liabilities') IS NULL
    OR (bs.standalone_json -&gt;&gt; 'Liabilities') = '') AND bs.period = 'Annual'
	AND cp.industry &lt;&gt; 'Banks' order by cp.market_cap desc;</t>
  </si>
  <si>
    <t xml:space="preserve">Assets or Liability head missing. </t>
  </si>
  <si>
    <t>Standalone</t>
  </si>
  <si>
    <t>Missing liabilities head and need to be calculated</t>
  </si>
  <si>
    <t>SELECT 
    bs.stock_symbol,
    bs.period,
    bs.to_date,
    cp.market_cap,
    -- Payables-related fields
    ROUND((bs.standalone_json -&gt;&gt; 'Payables')::NUMERIC / 10000000, 2) AS Payables_crore,
    ROUND((bs.standalone_json -&gt;&gt; 'TradePayablesCurrent')::NUMERIC / 10000000, 2) AS TradePayablesCurrent_crore,    
	ROUND((bs.standalone_json -&gt;&gt; 'TotalOutstandingDuesOfMicroEnterpriseAndSmallEnterprise')::NUMERIC / 10000000, 2) AS OutstandingDues1_crore,
    ROUND((bs.standalone_json -&gt;&gt; 'TotalOutstandingDuesOfMicroEnterpriseAndSmallEnterpriseCurrent')::NUMERIC / 10000000, 2) AS OutstandingDues11_crore,
    ROUND((bs.standalone_json -&gt;&gt; 'TotalOutstandingDuesOfCreditorsOtherThanMicroEnterpriseAndSmallEnterprise')::NUMERIC / 10000000, 2) AS OutstandingDues2_crore,
    ROUND((bs.standalone_json -&gt;&gt; 'TotalOutstandingDuesOfMicroEnterpriseAndSmallEnterpriseOtherPayables')::NUMERIC / 10000000, 2) AS OutstandingDues3_crore,
    ROUND((bs.standalone_json -&gt;&gt; 'TotalOutstandingDuesOfCreditorsOtherThanMicroEnterpriseAndSmallEnterpriseOtherPayables')::NUMERIC / 10000000, 2) AS OutstandingDues4_crore,
    ROUND((bs.standalone_json -&gt;&gt; 'TotalOutstandingDuesOfMicroEnterprisesAndSmallEnterprises')::NUMERIC / 10000000, 2) AS Lease_OutstandingDues5_crore,
    ROUND((bs.standalone_json -&gt;&gt; 'TotalOutstandingDuesOfCreditorsOtherThanMicroEnterprisesAndSmallEnterprises')::NUMERIC / 10000000, 2) AS OutstandingDues6_crore,
    ROUND((bs.standalone_json -&gt;&gt; 'TotalOutstandingDuesOfCreditorsOtherThanMicroEnterpriseAndSmallEnterpriseCurrent')::NUMERIC / 10000000, 2) AS OutstandingDues7_crore,
    ROUND((bs.standalone_json -&gt;&gt; 'OutstandingDuesOfCreditorsOtherThanMicroEnterprisesAndSmallEnterprises')::NUMERIC / 10000000, 2) AS OutstandingDues8_crore,
    ROUND((bs.standalone_json -&gt;&gt; 'OutstandingDuesOfMicroEnterprisesAndSmallEnterprises')::NUMERIC / 10000000, 2) AS OutstandingDues9_crore,
    -- Flag true only when Payables is non-zero AND equals sum of other dues
    CASE
      WHEN COALESCE((bs.standalone_json -&gt;&gt; 'Payables')::NUMERIC, 0) &gt; 0 AND
        (bs.standalone_json -&gt;&gt; 'Payables')::NUMERIC =
        (
          COALESCE((bs.standalone_json -&gt;&gt; 'TotalOutstandingDuesOfMicroEnterpriseAndSmallEnterprise')::NUMERIC, 0)
		  + COALESCE((bs.standalone_json -&gt;&gt; 'TotalOutstandingDuesOfMicroEnterpriseAndSmallEnterpriseCurrent')::NUMERIC, 0)
          + COALESCE((bs.standalone_json -&gt;&gt; 'TotalOutstandingDuesOfMicroEnterpriseAndSmallEnterpriseOtherPayables')::NUMERIC, 0)
          + COALESCE((bs.standalone_json -&gt;&gt; 'TotalOutstandingDuesOfMicroEnterprisesAndSmallEnterprises')::NUMERIC, 0)
          + COALESCE((bs.standalone_json -&gt;&gt; 'OutstandingDuesOfMicroEnterprisesAndSmallEnterprises')::NUMERIC, 0)
          + COALESCE((bs.standalone_json -&gt;&gt; 'TotalOutstandingDuesOfCreditorsOtherThanMicroEnterpriseAndSmallEnterprise')::NUMERIC, 0)
          + COALESCE((bs.standalone_json -&gt;&gt; 'TotalOutstandingDuesOfCreditorsOtherThanMicroEnterpriseAndSmallEnterpriseOtherPayables')::NUMERIC, 0)
          + COALESCE((bs.standalone_json -&gt;&gt; 'TotalOutstandingDuesOfCreditorsOtherThanMicroEnterprisesAndSmallEnterprises')::NUMERIC, 0)
          + COALESCE((bs.standalone_json -&gt;&gt; 'TotalOutstandingDuesOfCreditorsOtherThanMicroEnterpriseAndSmallEnterpriseCurrent')::NUMERIC, 0)
          + COALESCE((bs.standalone_json -&gt;&gt; 'OutstandingDuesOfCreditorsOtherThanMicroEnterprisesAndSmallEnterprises')::NUMERIC, 0)
        )
      THEN 'true'
      ELSE 'false'
    END AS is_matching_payables,
    -- Flag true only when TradePayablesCurrent is non-zero AND equals sum of dues
    CASE
      WHEN COALESCE((bs.standalone_json -&gt;&gt; 'TradePayablesCurrent')::NUMERIC, 0) &gt; 0 AND
        (bs.standalone_json -&gt;&gt; 'TradePayablesCurrent')::NUMERIC =
        (
          COALESCE((bs.standalone_json -&gt;&gt; 'TotalOutstandingDuesOfMicroEnterpriseAndSmallEnterprise')::NUMERIC, 0)
	      + COALESCE((bs.standalone_json -&gt;&gt; 'TotalOutstandingDuesOfMicroEnterpriseAndSmallEnterpriseCurrent')::NUMERIC, 0)
          + COALESCE((bs.standalone_json -&gt;&gt; 'TotalOutstandingDuesOfMicroEnterpriseAndSmallEnterpriseOtherPayables')::NUMERIC, 0)
          + COALESCE((bs.standalone_json -&gt;&gt; 'TotalOutstandingDuesOfMicroEnterprisesAndSmallEnterprises')::NUMERIC, 0)
          + COALESCE((bs.standalone_json -&gt;&gt; 'OutstandingDuesOfMicroEnterprisesAndSmallEnterprises')::NUMERIC, 0)
          + COALESCE((bs.standalone_json -&gt;&gt; 'TotalOutstandingDuesOfCreditorsOtherThanMicroEnterpriseAndSmallEnterprise')::NUMERIC, 0)
          + COALESCE((bs.standalone_json -&gt;&gt; 'TotalOutstandingDuesOfCreditorsOtherThanMicroEnterpriseAndSmallEnterpriseOtherPayables')::NUMERIC, 0)
          + COALESCE((bs.standalone_json -&gt;&gt; 'TotalOutstandingDuesOfCreditorsOtherThanMicroEnterprisesAndSmallEnterprises')::NUMERIC, 0)
          + COALESCE((bs.standalone_json -&gt;&gt; 'TotalOutstandingDuesOfCreditorsOtherThanMicroEnterpriseAndSmallEnterpriseCurrent')::NUMERIC, 0)
          + COALESCE((bs.standalone_json -&gt;&gt; 'OutstandingDuesOfCreditorsOtherThanMicroEnterprisesAndSmallEnterprises')::NUMERIC, 0)
        )
      THEN 'true'
      ELSE 'false'
    END AS is_matching_TradePayablesCurrent,
    -- Flag true only when ALL dues fields are either NULL or 0
    CASE
      WHEN 
        COALESCE((bs.standalone_json -&gt;&gt; 'TotalOutstandingDuesOfMicroEnterpriseAndSmallEnterprise')::NUMERIC, 0) = 0 AND
        COALESCE((bs.standalone_json -&gt;&gt; 'TotalOutstandingDuesOfMicroEnterpriseAndSmallEnterpriseCurrent')::NUMERIC, 0) = 0 AND
        COALESCE((bs.standalone_json -&gt;&gt; 'TotalOutstandingDuesOfCreditorsOtherThanMicroEnterpriseAndSmallEnterprise')::NUMERIC, 0) = 0 AND
        COALESCE((bs.standalone_json -&gt;&gt; 'TotalOutstandingDuesOfMicroEnterpriseAndSmallEnterpriseOtherPayables')::NUMERIC, 0) = 0 AND
        COALESCE((bs.standalone_json -&gt;&gt; 'TotalOutstandingDuesOfCreditorsOtherThanMicroEnterpriseAndSmallEnterpriseOtherPayables')::NUMERIC, 0) = 0 AND
        COALESCE((bs.standalone_json -&gt;&gt; 'TotalOutstandingDuesOfMicroEnterprisesAndSmallEnterprises')::NUMERIC, 0) = 0 AND
        COALESCE((bs.standalone_json -&gt;&gt; 'TotalOutstandingDuesOfCreditorsOtherThanMicroEnterprisesAndSmallEnterprises')::NUMERIC, 0) = 0 AND
        COALESCE((bs.standalone_json -&gt;&gt; 'TotalOutstandingDuesOfCreditorsOtherThanMicroEnterpriseAndSmallEnterpriseCurrent')::NUMERIC, 0) = 0 AND
        COALESCE((bs.standalone_json -&gt;&gt; 'OutstandingDuesOfCreditorsOtherThanMicroEnterprisesAndSmallEnterprises')::NUMERIC, 0) = 0 AND
        COALESCE((bs.standalone_json -&gt;&gt; 'OutstandingDuesOfMicroEnterprisesAndSmallEnterprises')::NUMERIC, 0) = 0
      THEN 'true'
      ELSE 'false'
    END AS are_all_outstanding_dues_zero_or_null
FROM balance_sheets bs
JOIN company_profiles cp ON bs.stock_symbol = cp.stock_symbol
WHERE
	(COALESCE((bs.standalone_json -&gt;&gt; 'Payables')::NUMERIC, 0) &lt;&gt; 0 OR
	 COALESCE((bs.standalone_json -&gt;&gt; 'TradePayablesCurrent')::NUMERIC, 0) &lt;&gt; 0 OR
	COALESCE((bs.standalone_json -&gt;&gt; 'TotalOutstandingDuesOfMicroEnterpriseAndSmallEnterprise')::NUMERIC, 0) &lt;&gt; 0 OR
	COALESCE((bs.standalone_json -&gt;&gt; 'TotalOutstandingDuesOfMicroEnterpriseAndSmallEnterpriseCurrent')::NUMERIC, 0) &lt;&gt; 0 OR
    COALESCE((bs.standalone_json -&gt;&gt; 'TotalOutstandingDuesOfMicroEnterpriseAndSmallEnterpriseOtherPayables')::NUMERIC, 0) &lt;&gt; 0 OR
    COALESCE((bs.standalone_json -&gt;&gt; 'TotalOutstandingDuesOfMicroEnterprisesAndSmallEnterprises')::NUMERIC, 0) &lt;&gt; 0 OR
    COALESCE((bs.standalone_json -&gt;&gt; 'OutstandingDuesOfMicroEnterprisesAndSmallEnterprises')::NUMERIC, 0) &lt;&gt; 0 OR
	COALESCE((bs.standalone_json -&gt;&gt; 'TotalOutstandingDuesOfCreditorsOtherThanMicroEnterpriseAndSmallEnterprise')::NUMERIC, 0) &lt;&gt; 0 OR
    COALESCE((bs.standalone_json -&gt;&gt; 'TotalOutstandingDuesOfCreditorsOtherThanMicroEnterpriseAndSmallEnterpriseOtherPayables')::NUMERIC, 0) &lt;&gt; 0 OR
    COALESCE((bs.standalone_json -&gt;&gt; 'TotalOutstandingDuesOfCreditorsOtherThanMicroEnterprisesAndSmallEnterprises')::NUMERIC, 0) &lt;&gt; 0 OR
    COALESCE((bs.standalone_json -&gt;&gt; 'TotalOutstandingDuesOfCreditorsOtherThanMicroEnterpriseAndSmallEnterpriseCurrent')::NUMERIC, 0) &lt;&gt; 0 OR
    COALESCE((bs.standalone_json -&gt;&gt; 'OutstandingDuesOfCreditorsOtherThanMicroEnterprisesAndSmallEnterprises')::NUMERIC, 0) &lt;&gt; 0 
	)
ORDER BY market_cap DESC;</t>
  </si>
  <si>
    <t>UPDATE profit_losses pl
SET consolidated_overrides = jsonb_build_object(
    'ProfitOrLossAttributableToNonControllingInterests',
    -1 * (pl.consolidated_json -&gt;&gt; 'ProfitOrLossAttributableToNonControllingInterests')::BIGINT
)
WHERE (stock_symbol, to_date, period, date_header) IN (    ('TRENT', '2023-03-31 23:59:59', 'Annual', 'Mar 2023'),
    ('DLF', '2018-12-31 23:59:59', 'Quarterly', 'Dec 2018'),
    ('DLF', '2018-03-31 23:59:59', 'Quarterly', 'Mar 2018'),
    ('DLF', '2017-03-31 23:59:59', 'Quarterly', 'Mar 2017'),
    ('HINDALCO', '2019-03-31 23:59:59', 'Annual', 'Mar 2019'),
    ('CGPOWER', '2025-06-30 23:59:59', 'Quarterly', 'Jun 2025'),
    ('CGPOWER', '2024-03-31 23:59:59', 'Annual', 'Mar 2024'),
    ('CGPOWER', '2025-03-31 23:59:59', 'Annual', 'Mar 2025'),
    ('APOLLOHOSP', '2019-12-31 23:59:59', 'Quarterly', 'Dec 2019'),
    ('LUPIN', '2022-06-30 23:59:59', 'Quarterly', 'Jun 2022'),
    ('ABCAPITAL', '2019-06-30 23:59:59', 'Quarterly', 'Jun 2019'),
    ('BIOCON', '2019-09-30 23:59:59', 'Quarterly', 'Sep 2019'),
    ('BIOCON', '2019-03-31 23:59:59', 'Quarterly', 'Mar 2019'),
    ('BIOCON', '2019-03-31 23:59:59', 'Annual', 'Mar 2019'),
    ('BIOCON', '2019-12-31 23:59:59', 'Quarterly', 'Dec 2019'),
    ('PEL', '2019-03-31 23:59:59', 'Annual', 'Mar 2019'),
    ('ASAHIINDIA', '2018-03-31 23:59:59', 'Annual', 'Mar 2018'),
    ('ASAHIINDIA', '2023-06-30 23:59:59', 'Quarterly', 'Jun 2023'),
    ('KAJARIACER', '2018-03-31 23:59:59', 'Annual', 'Mar 2018'),
    ('JINDALSAW', '2023-06-30 23:59:59', 'Quarterly', 'Jun 2023'),
    ('ZEEL', '2018-03-31 23:59:59', 'Annual', 'Mar 2018'),
    ('PVRINOX', '2025-03-31 23:59:59', 'Annual', 'TTM'),
    ('PVRINOX', '2025-03-31 23:59:59', 'Annual', 'Mar 2025'),
    ('SONATSOFTW', '2018-03-31 23:59:59', 'Quarterly', 'Mar 2018'),
    ('SHILPAMED', '2022-06-30 23:59:59', 'Quarterly', 'Jun 2022'),
    ('JKPAPER', '2019-03-31 23:59:59', 'Annual', 'Mar 2019'),
    ('ASHOKA', '2023-03-31 23:59:59', 'Quarterly', 'Mar 2023'),
    ('CAMLINFINE', '2019-03-31 23:59:59', 'Quarterly', 'Mar 2019'),
    ('543971', '2025-03-31 23:59:59', 'Annual', 'Mar 2025'),
    ('543971', '2025-03-31 23:59:59', 'Annual', 'TTM'),
    ('LUXIND', '2023-03-31 23:59:59', 'Annual', 'Mar 2023'),
    ('GLOBUSSPR', '2019-03-31 23:59:59', 'Annual', 'Mar 2019'),
    ('543928', '2025-03-31 23:59:59', 'Annual', 'Mar 2025'),
    ('543928', '2025-03-31 23:59:59', 'Annual', 'TTM'),
    ('543931', '2025-03-31 23:59:59', 'Annual', 'Mar 2025'),
    ('543931', '2025-03-31 23:59:59', 'Annual', 'TTM'),
    ('543895', '2025-03-31 23:59:59', 'Annual', 'TTM'),
    ('543895', '2025-03-31 23:59:59', 'Annual', 'Mar 2025'),
    ('523710', '2020-03-31 23:59:59', 'Annual', 'Mar 2020'),
    ('509162', '2024-03-31 23:59:59', 'Annual', 'Mar 2024'),
    ('543616', '2025-03-31 23:59:59', 'Annual', 'Mar 2025'),
    ('539984', '2023-12-31 23:59:59', 'Quarterly', 'Dec 2023'),
    ('539984', '2022-09-30 23:59:59', 'Quarterly', 'Sep 2022'),
    ('JHS', '2023-03-31 23:59:59', 'Annual', 'Mar 2023'),
    ('506919', '2022-09-30 23:59:59', 'Quarterly', 'Sep 2022'),
    ('511411', '2020-03-31 23:59:59', 'Annual', 'Mar 2020'),
    ('MADHUCON', '2021-12-31 23:59:59', 'Quarterly', 'Dec 2021'),
    ('501700', '2020-03-31 23:59:59', 'Annual', 'Mar 2020'),
    ('511601', '2023-03-31 23:59:59', 'Annual', 'Mar 2023'),
    ('540729', '2025-03-31 23:59:59', 'Annual', 'Mar 2025')
);</t>
  </si>
  <si>
    <t>Update sign of NI</t>
  </si>
  <si>
    <t>Quarterly</t>
  </si>
  <si>
    <t>SQL</t>
  </si>
  <si>
    <t>Period</t>
  </si>
  <si>
    <t>Statement</t>
  </si>
  <si>
    <t>P&amp;L</t>
  </si>
  <si>
    <t>SELECT 
    id,  -- assuming your table has a primary key column
	stock_symbol,
	period, 
	date_header,
    (standalone_json-&gt;'data'-&gt;&gt;'SegmentLiabilities')::NUMERIC AS SegmentLiabilities,
    COALESCE((standalone_json-&gt;'data'-&gt;&gt;'UnAllocableLiabilities')::NUMERIC, 0) AS UnAllocableLiabilities,
    (standalone_json-&gt;'data'-&gt;&gt;'NetSegmentLiabilities')::NUMERIC AS NetSegmentLiabilities,
    (standalone_json-&gt;'data'-&gt;&gt;'SegmentAssets')::NUMERIC AS SegmentAssets,
    COALESCE((standalone_json-&gt;'data'-&gt;&gt;'UnAllocableAssets')::NUMERIC, 0) AS UnAllocableAssets,
    (standalone_json-&gt;'data'-&gt;&gt;'NetSegmentAssets')::NUMERIC AS NetSegmentAssets
FROM segment_revenues
WHERE 
    -- Check Liabilities mismatch
    ( ( (standalone_json-&gt;'data'-&gt;&gt;'SegmentLiabilities')::NUMERIC
      + COALESCE((standalone_json-&gt;'data'-&gt;&gt;'UnAllocableLiabilities')::NUMERIC, 0)
      ) &lt;&gt; (standalone_json-&gt;'data'-&gt;&gt;'NetSegmentLiabilities')::NUMERIC
    )
    OR
    -- Check Assets mismatch
    ( ( (standalone_json-&gt;'data'-&gt;&gt;'SegmentAssets')::NUMERIC
      + COALESCE((standalone_json-&gt;'data'-&gt;&gt;'UnAllocableAssets')::NUMERIC, 0)
      ) &lt;&gt; (standalone_json-&gt;'data'-&gt;&gt;'NetSegmentAssets')::NUMERIC
    )</t>
  </si>
  <si>
    <t>Asset and liability match</t>
  </si>
  <si>
    <t>SELECT 
    id,  -- assuming your table has a primary key column
	stock_symbol,
	period, 
	date_header,
    (consolidated_json-&gt;'data'-&gt;&gt;'SegmentLiabilities')::NUMERIC AS SegmentLiabilities,
    COALESCE((consolidated_json-&gt;'data'-&gt;&gt;'UnAllocableLiabilities')::NUMERIC, 0) AS UnAllocableLiabilities,
    (consolidated_json-&gt;'data'-&gt;&gt;'NetSegmentLiabilities')::NUMERIC AS NetSegmentLiabilities,
    (consolidated_json-&gt;'data'-&gt;&gt;'SegmentAssets')::NUMERIC AS SegmentAssets,
    COALESCE((consolidated_json-&gt;'data'-&gt;&gt;'UnAllocableAssets')::NUMERIC, 0) AS UnAllocableAssets,
    (consolidated_json-&gt;'data'-&gt;&gt;'NetSegmentAssets')::NUMERIC AS NetSegmentAssets
FROM segment_revenues
WHERE 
    -- Check Liabilities mismatch
    ( ( (consolidated_json-&gt;'data'-&gt;&gt;'SegmentLiabilities')::NUMERIC
      + COALESCE((consolidated_json-&gt;'data'-&gt;&gt;'UnAllocableLiabilities')::NUMERIC, 0)
      ) &lt;&gt; (consolidated_json-&gt;'data'-&gt;&gt;'NetSegmentLiabilities')::NUMERIC
    )
    OR
    -- Check Assets mismatch
    ( ( (consolidated_json-&gt;'data'-&gt;&gt;'SegmentAssets')::NUMERIC
      + COALESCE((consolidated_json-&gt;'data'-&gt;&gt;'UnAllocableAssets')::NUMERIC, 0)
      ) &lt;&gt; (consolidated_json-&gt;'data'-&gt;&gt;'NetSegmentAssets')::NUMERIC
    )</t>
  </si>
  <si>
    <t>SELECT
    sr.id,
	sr.stock_symbol,
	sr.period, 
	sr.date_header,
    sr.stock_symbol,
    cp.market_cap,
    -- Company-level fields
    (sr.standalone_json-&gt;'data'-&gt;&gt;'SegmentAssets')::NUMERIC AS company_segment_assets,
    (sr.standalone_json-&gt;'data'-&gt;&gt;'UnAllocableAssets')::NUMERIC AS unallocable_assets,
    (sr.standalone_json-&gt;'data'-&gt;&gt;'NetSegmentAssets')::NUMERIC AS net_segment_assets,
    (sr.standalone_json-&gt;'data'-&gt;&gt;'SegmentLiabilities')::NUMERIC AS company_segment_liabilities,
    (sr.standalone_json-&gt;'data'-&gt;&gt;'UnAllocableLiabilities')::NUMERIC AS unallocable_liabilities,
    (sr.standalone_json-&gt;'data'-&gt;&gt;'NetSegmentLiabilities')::NUMERIC AS net_segment_liabilities,
    -- Derived totals from segments array
    (
      SELECT SUM((seg-&gt;'data'-&gt;&gt;'SegmentAssets')::NUMERIC)
      FROM jsonb_array_elements(sr.standalone_json-&gt;'segments') seg
    ) AS total_segment_assets,
    (
      SELECT SUM((seg-&gt;'data'-&gt;&gt;'SegmentLiabilities')::NUMERIC)
      FROM jsonb_array_elements(sr.standalone_json-&gt;'segments') seg
    ) AS total_segment_liabilities
FROM segment_revenues sr
JOIN company_profiles cp 
    ON sr.stock_symbol = cp.stock_symbol
WHERE 
    -- Assets mismatch
    (
      (sr.standalone_json-&gt;'data'-&gt;&gt;'NetSegmentAssets')::NUMERIC
      &lt;&gt; (
            COALESCE((
              SELECT SUM((seg-&gt;'data'-&gt;&gt;'SegmentAssets')::NUMERIC)
              FROM jsonb_array_elements(sr.standalone_json-&gt;'segments') seg
            ),0)
            + COALESCE((sr.standalone_json-&gt;'data'-&gt;&gt;'UnAllocableAssets')::NUMERIC,0)
         )
    )
    OR
    -- Liabilities mismatch
    (
      (sr.standalone_json-&gt;'data'-&gt;&gt;'NetSegmentLiabilities')::NUMERIC
      &lt;&gt; (
            COALESCE((
              SELECT SUM((seg-&gt;'data'-&gt;&gt;'SegmentLiabilities')::NUMERIC)
              FROM jsonb_array_elements(sr.standalone_json-&gt;'segments') seg
            ),0)
            + COALESCE((sr.standalone_json-&gt;'data'-&gt;&gt;'UnAllocableLiabilities')::NUMERIC,0)
         )
    ) order by cp.market_cap desc</t>
  </si>
  <si>
    <t>SELECT
    sr.id,
	sr.stock_symbol,
	sr.period, 
	sr.date_header,
    sr.stock_symbol,
    cp.market_cap,
    -- Company-level fields
    (sr.consolidated_json-&gt;'data'-&gt;&gt;'SegmentAssets')::NUMERIC AS company_segment_assets,
    (sr.consolidated_json-&gt;'data'-&gt;&gt;'UnAllocableAssets')::NUMERIC AS unallocable_assets,
    (sr.consolidated_json-&gt;'data'-&gt;&gt;'NetSegmentAssets')::NUMERIC AS net_segment_assets,
    (sr.consolidated_json-&gt;'data'-&gt;&gt;'SegmentLiabilities')::NUMERIC AS company_segment_liabilities,
    (sr.consolidated_json-&gt;'data'-&gt;&gt;'UnAllocableLiabilities')::NUMERIC AS unallocable_liabilities,
    (sr.consolidated_json-&gt;'data'-&gt;&gt;'NetSegmentLiabilities')::NUMERIC AS net_segment_liabilities,
    -- Derived totals from segments array
    (
      SELECT SUM((seg-&gt;'data'-&gt;&gt;'SegmentAssets')::NUMERIC)
      FROM jsonb_array_elements(sr.consolidated_json-&gt;'segments') seg
    ) AS total_segment_assets,
    (
      SELECT SUM((seg-&gt;'data'-&gt;&gt;'SegmentLiabilities')::NUMERIC)
      FROM jsonb_array_elements(sr.consolidated_json-&gt;'segments') seg
    ) AS total_segment_liabilities
FROM segment_revenues sr
JOIN company_profiles cp 
    ON sr.stock_symbol = cp.stock_symbol
WHERE 
    -- Assets mismatch
    (
      (sr.consolidated_json-&gt;'data'-&gt;&gt;'NetSegmentAssets')::NUMERIC
      &lt;&gt; (
            COALESCE((
              SELECT SUM((seg-&gt;'data'-&gt;&gt;'SegmentAssets')::NUMERIC)
              FROM jsonb_array_elements(sr.consolidated_json-&gt;'segments') seg
            ),0)
            + COALESCE((sr.consolidated_json-&gt;'data'-&gt;&gt;'UnAllocableAssets')::NUMERIC,0)
         )
    )
    OR
    -- Liabilities mismatch
    (
      (sr.consolidated_json-&gt;'data'-&gt;&gt;'NetSegmentLiabilities')::NUMERIC
      &lt;&gt; (
            COALESCE((
              SELECT SUM((seg-&gt;'data'-&gt;&gt;'SegmentLiabilities')::NUMERIC)
              FROM jsonb_array_elements(sr.consolidated_json-&gt;'segments') seg
            ),0)
            + COALESCE((sr.consolidated_json-&gt;'data'-&gt;&gt;'UnAllocableLiabilities')::NUMERIC,0)
         )
    ) order by cp.market_cap desc</t>
  </si>
  <si>
    <t>SELECT
    sr.id,
    sr.stock_symbol,
	sr.period,
    sr.date_header,
    cp.market_cap,
    seg-&gt;&gt;'name' AS segment_name,
    (seg-&gt;'data'-&gt;&gt;'SegmentRevenue')::NUMERIC AS segment_revenue
FROM segment_revenues sr
JOIN company_profiles cp 
    ON sr.stock_symbol = cp.stock_symbol
CROSS JOIN LATERAL jsonb_array_elements(sr.standalone_json-&gt;'segments') seg order by market_cap desc</t>
  </si>
  <si>
    <t>Get segment names</t>
  </si>
  <si>
    <t>SELECT * FROM utils.company_exchange_xbrls where stock_symbol = 'TORNTPOWER' and period = 'Annual'
(bse_sh_broadcast_dt &gt;= '2025-05-15' OR bse_fi_broadcast_dt &gt;= '2025-05-15' OR nse_sh_broadcast_date &gt;= '2025-05-15' or nse_broadcast_date &gt;= '2025-05-15')
ORDER BY bse_sh_broadcast_dt desc LIMIT 100
SELECT * FROM utils.split_bonus_utils where stock_symbol = 'BEARDSELL' --comments = 'R3'
--UPDATE utils.split_bonus_utils SET comments = NULL WHERE --comments = 'R3'; No impact row
--SELECT * FROM utils.company_exchange_xbrls where stock_symbol = 'BEARDSELL' ORDER BY id DESC and period = 'Annual'
--SELECT * FROM utils.split_bonus_utils where corp_action = 'NK' and stock_symbol is null  ilike '%xbrl%'
--R4 - Run for XBRL
--SELECT * FROM utils.split_bonus_utils where denominator = '0'</t>
  </si>
  <si>
    <t>Resuls</t>
  </si>
  <si>
    <t>No issues</t>
  </si>
  <si>
    <t>Equity validation
EquityShareCapital = OtherEquity + Equity</t>
  </si>
  <si>
    <t>CurrentLiabilities = Child heads</t>
  </si>
  <si>
    <t>NoncurrentLiabilities = Child heads</t>
  </si>
  <si>
    <t>CurrentAssets = Child heads</t>
  </si>
  <si>
    <t>NoncurrentAssets = Child heads</t>
  </si>
  <si>
    <t>EquityAndLiabilities &lt;&gt; Assets</t>
  </si>
  <si>
    <t>Assets &lt;&gt; CA + NCA</t>
  </si>
  <si>
    <t>Liabilities  &lt;&gt; CL + NCL</t>
  </si>
  <si>
    <t>Trade Payable - matches with 9 varient of dues of microenterprize</t>
  </si>
  <si>
    <t>Mapped Field Verification</t>
  </si>
  <si>
    <t>SELECT 
    bs.stock_symbol,
    bs.period,
    bs.to_date,
    cp.market_cap,
    -- Payables-related fields
    ROUND((bs.consolidated_json -&gt;&gt; 'Payables')::NUMERIC / 10000000, 2) AS Payables_crore,
    ROUND((bs.consolidated_json -&gt;&gt; 'TradePayablesCurrent')::NUMERIC / 10000000, 2) AS TradePayablesCurrent_crore,    
	ROUND((bs.consolidated_json -&gt;&gt; 'TotalOutstandingDuesOfMicroEnterpriseAndSmallEnterprise')::NUMERIC / 10000000, 2) AS OutstandingDues1_crore,
    ROUND((bs.consolidated_json -&gt;&gt; 'TotalOutstandingDuesOfMicroEnterpriseAndSmallEnterpriseCurrent')::NUMERIC / 10000000, 2) AS OutstandingDues11_crore,
    ROUND((bs.consolidated_json -&gt;&gt; 'TotalOutstandingDuesOfCreditorsOtherThanMicroEnterpriseAndSmallEnterprise')::NUMERIC / 10000000, 2) AS OutstandingDues2_crore,
    ROUND((bs.consolidated_json -&gt;&gt; 'TotalOutstandingDuesOfMicroEnterpriseAndSmallEnterpriseOtherPayables')::NUMERIC / 10000000, 2) AS OutstandingDues3_crore,
    ROUND((bs.consolidated_json -&gt;&gt; 'TotalOutstandingDuesOfCreditorsOtherThanMicroEnterpriseAndSmallEnterpriseOtherPayables')::NUMERIC / 10000000, 2) AS OutstandingDues4_crore,
    ROUND((bs.consolidated_json -&gt;&gt; 'TotalOutstandingDuesOfMicroEnterprisesAndSmallEnterprises')::NUMERIC / 10000000, 2) AS Lease_OutstandingDues5_crore,
    ROUND((bs.consolidated_json -&gt;&gt; 'TotalOutstandingDuesOfCreditorsOtherThanMicroEnterprisesAndSmallEnterprises')::NUMERIC / 10000000, 2) AS OutstandingDues6_crore,
    ROUND((bs.consolidated_json -&gt;&gt; 'TotalOutstandingDuesOfCreditorsOtherThanMicroEnterpriseAndSmallEnterpriseCurrent')::NUMERIC / 10000000, 2) AS OutstandingDues7_crore,
    ROUND((bs.consolidated_json -&gt;&gt; 'OutstandingDuesOfCreditorsOtherThanMicroEnterprisesAndSmallEnterprises')::NUMERIC / 10000000, 2) AS OutstandingDues8_crore,
    ROUND((bs.consolidated_json -&gt;&gt; 'OutstandingDuesOfMicroEnterprisesAndSmallEnterprises')::NUMERIC / 10000000, 2) AS OutstandingDues9_crore,
    -- Flag true only when Payables is non-zero AND equals sum of other dues
    CASE
      WHEN COALESCE((bs.consolidated_json -&gt;&gt; 'Payables')::NUMERIC, 0) &gt; 0 AND
        (bs.consolidated_json -&gt;&gt; 'Payables')::NUMERIC =
        (
          COALESCE((bs.consolidated_json -&gt;&gt; 'TotalOutstandingDuesOfMicroEnterpriseAndSmallEnterprise')::NUMERIC, 0)
		  + COALESCE((bs.consolidated_json -&gt;&gt; 'TotalOutstandingDuesOfMicroEnterpriseAndSmallEnterpriseCurrent')::NUMERIC, 0)
          + COALESCE((bs.consolidated_json -&gt;&gt; 'TotalOutstandingDuesOfMicroEnterpriseAndSmallEnterpriseOtherPayables')::NUMERIC, 0)
          + COALESCE((bs.consolidated_json -&gt;&gt; 'TotalOutstandingDuesOfMicroEnterprisesAndSmallEnterprises')::NUMERIC, 0)
          + COALESCE((bs.consolidated_json -&gt;&gt; 'OutstandingDuesOfMicroEnterprisesAndSmallEnterprises')::NUMERIC, 0)
          + COALESCE((bs.consolidated_json -&gt;&gt; 'TotalOutstandingDuesOfCreditorsOtherThanMicroEnterpriseAndSmallEnterprise')::NUMERIC, 0)
          + COALESCE((bs.consolidated_json -&gt;&gt; 'TotalOutstandingDuesOfCreditorsOtherThanMicroEnterpriseAndSmallEnterpriseOtherPayables')::NUMERIC, 0)
          + COALESCE((bs.consolidated_json -&gt;&gt; 'TotalOutstandingDuesOfCreditorsOtherThanMicroEnterprisesAndSmallEnterprises')::NUMERIC, 0)
          + COALESCE((bs.consolidated_json -&gt;&gt; 'TotalOutstandingDuesOfCreditorsOtherThanMicroEnterpriseAndSmallEnterpriseCurrent')::NUMERIC, 0)
          + COALESCE((bs.consolidated_json -&gt;&gt; 'OutstandingDuesOfCreditorsOtherThanMicroEnterprisesAndSmallEnterprises')::NUMERIC, 0)
        )
      THEN 'true'
      ELSE 'false'
    END AS is_matching_payables,
    -- Flag true only when TradePayablesCurrent is non-zero AND equals sum of dues
    CASE
      WHEN COALESCE((bs.consolidated_json -&gt;&gt; 'TradePayablesCurrent')::NUMERIC, 0) &gt; 0 AND
        (bs.consolidated_json -&gt;&gt; 'TradePayablesCurrent')::NUMERIC =
        (
          COALESCE((bs.consolidated_json -&gt;&gt; 'TotalOutstandingDuesOfMicroEnterpriseAndSmallEnterprise')::NUMERIC, 0)
	      + COALESCE((bs.consolidated_json -&gt;&gt; 'TotalOutstandingDuesOfMicroEnterpriseAndSmallEnterpriseCurrent')::NUMERIC, 0)
          + COALESCE((bs.consolidated_json -&gt;&gt; 'TotalOutstandingDuesOfMicroEnterpriseAndSmallEnterpriseOtherPayables')::NUMERIC, 0)
          + COALESCE((bs.consolidated_json -&gt;&gt; 'TotalOutstandingDuesOfMicroEnterprisesAndSmallEnterprises')::NUMERIC, 0)
          + COALESCE((bs.consolidated_json -&gt;&gt; 'OutstandingDuesOfMicroEnterprisesAndSmallEnterprises')::NUMERIC, 0)
          + COALESCE((bs.consolidated_json -&gt;&gt; 'TotalOutstandingDuesOfCreditorsOtherThanMicroEnterpriseAndSmallEnterprise')::NUMERIC, 0)
          + COALESCE((bs.consolidated_json -&gt;&gt; 'TotalOutstandingDuesOfCreditorsOtherThanMicroEnterpriseAndSmallEnterpriseOtherPayables')::NUMERIC, 0)
          + COALESCE((bs.consolidated_json -&gt;&gt; 'TotalOutstandingDuesOfCreditorsOtherThanMicroEnterprisesAndSmallEnterprises')::NUMERIC, 0)
          + COALESCE((bs.consolidated_json -&gt;&gt; 'TotalOutstandingDuesOfCreditorsOtherThanMicroEnterpriseAndSmallEnterpriseCurrent')::NUMERIC, 0)
          + COALESCE((bs.consolidated_json -&gt;&gt; 'OutstandingDuesOfCreditorsOtherThanMicroEnterprisesAndSmallEnterprises')::NUMERIC, 0)
        )
      THEN 'true'
      ELSE 'false'
    END AS is_matching_TradePayablesCurrent,
    -- Flag true only when ALL dues fields are either NULL or 0
    CASE
      WHEN 
        COALESCE((bs.consolidated_json -&gt;&gt; 'TotalOutstandingDuesOfMicroEnterpriseAndSmallEnterprise')::NUMERIC, 0) = 0 AND
        COALESCE((bs.consolidated_json -&gt;&gt; 'TotalOutstandingDuesOfMicroEnterpriseAndSmallEnterpriseCurrent')::NUMERIC, 0) = 0 AND
        COALESCE((bs.consolidated_json -&gt;&gt; 'TotalOutstandingDuesOfCreditorsOtherThanMicroEnterpriseAndSmallEnterprise')::NUMERIC, 0) = 0 AND
        COALESCE((bs.consolidated_json -&gt;&gt; 'TotalOutstandingDuesOfMicroEnterpriseAndSmallEnterpriseOtherPayables')::NUMERIC, 0) = 0 AND
        COALESCE((bs.consolidated_json -&gt;&gt; 'TotalOutstandingDuesOfCreditorsOtherThanMicroEnterpriseAndSmallEnterpriseOtherPayables')::NUMERIC, 0) = 0 AND
        COALESCE((bs.consolidated_json -&gt;&gt; 'TotalOutstandingDuesOfMicroEnterprisesAndSmallEnterprises')::NUMERIC, 0) = 0 AND
        COALESCE((bs.consolidated_json -&gt;&gt; 'TotalOutstandingDuesOfCreditorsOtherThanMicroEnterprisesAndSmallEnterprises')::NUMERIC, 0) = 0 AND
        COALESCE((bs.consolidated_json -&gt;&gt; 'TotalOutstandingDuesOfCreditorsOtherThanMicroEnterpriseAndSmallEnterpriseCurrent')::NUMERIC, 0) = 0 AND
        COALESCE((bs.consolidated_json -&gt;&gt; 'OutstandingDuesOfCreditorsOtherThanMicroEnterprisesAndSmallEnterprises')::NUMERIC, 0) = 0 AND
        COALESCE((bs.consolidated_json -&gt;&gt; 'OutstandingDuesOfMicroEnterprisesAndSmallEnterprises')::NUMERIC, 0) = 0
      THEN 'true'
      ELSE 'false'
    END AS are_all_outstanding_dues_zero_or_null
FROM balance_sheets bs
JOIN company_profiles cp ON bs.stock_symbol = cp.stock_symbol
WHERE
	(COALESCE((bs.consolidated_json -&gt;&gt; 'Payables')::NUMERIC, 0) &lt;&gt; 0 OR
	 COALESCE((bs.consolidated_json -&gt;&gt; 'TradePayablesCurrent')::NUMERIC, 0) &lt;&gt; 0 OR
	COALESCE((bs.consolidated_json -&gt;&gt; 'TotalOutstandingDuesOfMicroEnterpriseAndSmallEnterprise')::NUMERIC, 0) &lt;&gt; 0 OR
	COALESCE((bs.consolidated_json -&gt;&gt; 'TotalOutstandingDuesOfMicroEnterpriseAndSmallEnterpriseCurrent')::NUMERIC, 0) &lt;&gt; 0 OR
    COALESCE((bs.consolidated_json -&gt;&gt; 'TotalOutstandingDuesOfMicroEnterpriseAndSmallEnterpriseOtherPayables')::NUMERIC, 0) &lt;&gt; 0 OR
    COALESCE((bs.consolidated_json -&gt;&gt; 'TotalOutstandingDuesOfMicroEnterprisesAndSmallEnterprises')::NUMERIC, 0) &lt;&gt; 0 OR
    COALESCE((bs.consolidated_json -&gt;&gt; 'OutstandingDuesOfMicroEnterprisesAndSmallEnterprises')::NUMERIC, 0) &lt;&gt; 0 OR
	COALESCE((bs.consolidated_json -&gt;&gt; 'TotalOutstandingDuesOfCreditorsOtherThanMicroEnterpriseAndSmallEnterprise')::NUMERIC, 0) &lt;&gt; 0 OR
    COALESCE((bs.consolidated_json -&gt;&gt; 'TotalOutstandingDuesOfCreditorsOtherThanMicroEnterpriseAndSmallEnterpriseOtherPayables')::NUMERIC, 0) &lt;&gt; 0 OR
    COALESCE((bs.consolidated_json -&gt;&gt; 'TotalOutstandingDuesOfCreditorsOtherThanMicroEnterprisesAndSmallEnterprises')::NUMERIC, 0) &lt;&gt; 0 OR
    COALESCE((bs.consolidated_json -&gt;&gt; 'TotalOutstandingDuesOfCreditorsOtherThanMicroEnterpriseAndSmallEnterpriseCurrent')::NUMERIC, 0) &lt;&gt; 0 OR
    COALESCE((bs.consolidated_json -&gt;&gt; 'OutstandingDuesOfCreditorsOtherThanMicroEnterprisesAndSmallEnterprises')::NUMERIC, 0) &lt;&gt; 0 
	)
ORDER BY market_cap DESC;</t>
  </si>
  <si>
    <t>Current Trade Payable Analysis</t>
  </si>
  <si>
    <t>SELECT 
    bs.stock_symbol,
    cp.market_cap,
    cp.industry, 
    bs.period, 
    bs.date_header,
    ROUND((bs.consolidated_json -&gt;&gt; 'Assets')::NUMERIC / 10000000, 2) AS assets_crore,
    ROUND((bs.consolidated_json -&gt;&gt; 'NoncurrentAssets')::NUMERIC / 10000000, 2) AS non_current_assets_crore,
    ROUND((bs.consolidated_json -&gt;&gt; 'CurrentAssets')::NUMERIC / 10000000, 2) AS current_assets_crore,
    ROUND((bs.consolidated_json -&gt;&gt; 'Liabilities')::NUMERIC / 10000000, 2) AS liabilities_crore,
    ROUND((bs.consolidated_json -&gt;&gt; 'NoncurrentLiabilities')::NUMERIC / 10000000, 2) AS non_current_liabilities_crore,
    ROUND((bs.consolidated_json -&gt;&gt; 'CurrentLiabilities')::NUMERIC / 10000000, 2) AS current_liabilities_crore,
    ROUND((bs.consolidated_json -&gt;&gt; 'Equity')::NUMERIC / 10000000, 2) AS equity_crore,
    ROUND(
        (
            (bs.consolidated_json -&gt;&gt; 'NoncurrentLiabilities')::NUMERIC +
            (bs.consolidated_json -&gt;&gt; 'CurrentLiabilities')::NUMERIC +
            (bs.consolidated_json -&gt;&gt; 'Equity')::NUMERIC
        ) / 10000000, 2
    ) AS total_liabilities_equity_crore,
    ROUND(
        ((
            (bs.consolidated_json -&gt;&gt; 'NoncurrentLiabilities')::NUMERIC +
            (bs.consolidated_json -&gt;&gt; 'CurrentLiabilities')::NUMERIC +
            (bs.consolidated_json -&gt;&gt; 'Equity')::NUMERIC
        ) - (bs.consolidated_json -&gt;&gt; 'Assets')::NUMERIC)/10000000
    , 2) AS difference,
    CASE
        WHEN 
            (bs.consolidated_json -&gt;&gt; 'Assets') IS NOT NULL AND
            (bs.consolidated_json -&gt;&gt; 'NoncurrentLiabilities') IS NOT NULL AND
            (bs.consolidated_json -&gt;&gt; 'CurrentLiabilities') IS NOT NULL AND
            (bs.consolidated_json -&gt;&gt; 'Equity') IS NOT NULL AND
            ROUND(
                (
                    (bs.consolidated_json -&gt;&gt; 'NoncurrentLiabilities')::NUMERIC +
                    (bs.consolidated_json -&gt;&gt; 'CurrentLiabilities')::NUMERIC +
                    (bs.consolidated_json -&gt;&gt; 'Equity')::NUMERIC
                ), 2
            ) = ROUND((bs.consolidated_json -&gt;&gt; 'Assets')::NUMERIC, 2)
        THEN 'true'
        ELSE 'false'
    END AS is_balanced,
 -- New: NoncurrentAssets + CurrentAssets = Assets check
    CASE
        WHEN 
            (bs.consolidated_json -&gt;&gt; 'Assets') IS NOT NULL AND
            (bs.consolidated_json -&gt;&gt; 'NoncurrentAssets') IS NOT NULL AND
            (bs.consolidated_json -&gt;&gt; 'CurrentAssets') IS NOT NULL AND
            ROUND(
                ((bs.consolidated_json -&gt;&gt; 'NoncurrentAssets')::NUMERIC +
                 (bs.consolidated_json -&gt;&gt; 'CurrentAssets')::NUMERIC), 2
            ) = ROUND((bs.consolidated_json -&gt;&gt; 'Assets')::NUMERIC, 2)
        THEN 'true'
        ELSE 'false'
    END AS is_assets_split_matched
    --bs.consolidated_json
FROM public.balance_sheets bs
JOIN public.company_profiles cp ON bs.stock_symbol = cp.stock_symbol
WHERE 
    ((bs.consolidated_json -&gt;&gt; 'Liabilities') IS NULL
     OR (bs.consolidated_json -&gt;&gt; 'Liabilities') = '')
    AND (bs.consolidated_json -&gt;&gt; 'Equity') IS NOT NULL
   -- AND bs.consolidated_json::text &lt;&gt; '{}'
    AND bs.period = 'Annual'
    AND cp.industry &lt;&gt; 'Banks'
ORDER BY cp.market_cap DESC;</t>
  </si>
  <si>
    <t>SELECT 
    bs.stock_symbol,
    cp.market_cap,
    cp.industry, 
    bs.period, 
    bs.date_header,
    ROUND((bs.standalone_json -&gt;&gt; 'Assets')::NUMERIC / 10000000, 2) AS assets_crore,
    ROUND((bs.standalone_json -&gt;&gt; 'NoncurrentAssets')::NUMERIC / 10000000, 2) AS non_current_assets_crore,
    ROUND((bs.standalone_json -&gt;&gt; 'CurrentAssets')::NUMERIC / 10000000, 2) AS current_assets_crore,
    ROUND((bs.standalone_json -&gt;&gt; 'Liabilities')::NUMERIC / 10000000, 2) AS liabilities_crore,
    ROUND((bs.standalone_json -&gt;&gt; 'NoncurrentLiabilities')::NUMERIC / 10000000, 2) AS non_current_liabilities_crore,
    ROUND((bs.standalone_json -&gt;&gt; 'CurrentLiabilities')::NUMERIC / 10000000, 2) AS current_liabilities_crore,
    ROUND((bs.standalone_json -&gt;&gt; 'Equity')::NUMERIC / 10000000, 2) AS equity_crore,
    ROUND(
        (
            (bs.standalone_json -&gt;&gt; 'NoncurrentLiabilities')::NUMERIC +
            (bs.standalone_json -&gt;&gt; 'CurrentLiabilities')::NUMERIC +
            (bs.standalone_json -&gt;&gt; 'Equity')::NUMERIC
        ) / 10000000, 2
    ) AS total_liabilities_equity_crore,
    ROUND(
        ((
            (bs.standalone_json -&gt;&gt; 'NoncurrentLiabilities')::NUMERIC +
            (bs.standalone_json -&gt;&gt; 'CurrentLiabilities')::NUMERIC +
            (bs.standalone_json -&gt;&gt; 'Equity')::NUMERIC
        ) - (bs.standalone_json -&gt;&gt; 'Assets')::NUMERIC)/10000000
    , 2) AS difference,
    CASE
        WHEN 
            (bs.standalone_json -&gt;&gt; 'Assets') IS NOT NULL AND
            (bs.standalone_json -&gt;&gt; 'NoncurrentLiabilities') IS NOT NULL AND
            (bs.standalone_json -&gt;&gt; 'CurrentLiabilities') IS NOT NULL AND
            (bs.standalone_json -&gt;&gt; 'Equity') IS NOT NULL AND
            ROUND(
                (
                    (bs.standalone_json -&gt;&gt; 'NoncurrentLiabilities')::NUMERIC +
                    (bs.standalone_json -&gt;&gt; 'CurrentLiabilities')::NUMERIC +
                    (bs.standalone_json -&gt;&gt; 'Equity')::NUMERIC
                ), 2
            ) = ROUND((bs.standalone_json -&gt;&gt; 'Assets')::NUMERIC, 2)
        THEN 'true'
        ELSE 'false'
    END AS is_balanced,
 -- New: NoncurrentAssets + CurrentAssets = Assets check
    CASE
        WHEN 
            (bs.standalone_json -&gt;&gt; 'Assets') IS NOT NULL AND
            (bs.standalone_json -&gt;&gt; 'NoncurrentAssets') IS NOT NULL AND
            (bs.standalone_json -&gt;&gt; 'CurrentAssets') IS NOT NULL AND
            ROUND(
                ((bs.standalone_json -&gt;&gt; 'NoncurrentAssets')::NUMERIC +
                 (bs.standalone_json -&gt;&gt; 'CurrentAssets')::NUMERIC), 2
            ) = ROUND((bs.standalone_json -&gt;&gt; 'Assets')::NUMERIC, 2)
        THEN 'true'
        ELSE 'false'
    END AS is_assets_split_matched
    --bs.standalone_json
FROM public.balance_sheets bs
JOIN public.company_profiles cp ON bs.stock_symbol = cp.stock_symbol
WHERE 
    ((bs.standalone_json -&gt;&gt; 'Liabilities') IS NULL
     OR (bs.standalone_json -&gt;&gt; 'Liabilities') = '')
    AND (bs.standalone_json -&gt;&gt; 'Equity') IS NOT NULL
   -- AND bs.standalone_json::text &lt;&gt; '{}'
    AND bs.period = 'Annual'
    AND cp.industry &lt;&gt; 'Banks'
ORDER BY cp.market_cap DESC;</t>
  </si>
  <si>
    <t>Owner's Income - Calculation match</t>
  </si>
  <si>
    <t>ProfitLossForThePeriod  - Calculation match</t>
  </si>
  <si>
    <t>ProfitLossForPeriod  - Calculation match</t>
  </si>
  <si>
    <t>InterestEarned matches with child heads</t>
  </si>
  <si>
    <t>ExpenditureExcludingProvisionsAndContingencies matches with child heads</t>
  </si>
  <si>
    <t>Income = RevenueFromOperations + OtherIncome</t>
  </si>
  <si>
    <t>Revenue from operation = child match</t>
  </si>
  <si>
    <t>profit_loss_validation.sql</t>
  </si>
  <si>
    <t>InInvestingActivities &lt;&gt; Sum of individual records.</t>
  </si>
  <si>
    <t>FinancingActivities &lt;&gt; Sum of individual records</t>
  </si>
  <si>
    <t>Operating + Investing + Financing &lt;&gt; Net</t>
  </si>
  <si>
    <t>Results</t>
  </si>
  <si>
    <t>296 - 207</t>
  </si>
  <si>
    <t>Asset and liability match - child &lt;&gt; parents</t>
  </si>
  <si>
    <t>Need to analyze</t>
  </si>
  <si>
    <t>Missing rows</t>
  </si>
  <si>
    <t>Analysis SQL
EPS Calculated using Profit / NumberOfShares</t>
  </si>
  <si>
    <t>No issue</t>
  </si>
  <si>
    <t>Analysis SQL
NumberOfShares &lt;&gt; NumberOfSharesOriginal</t>
  </si>
  <si>
    <t>Total Shareholding - stock specific</t>
  </si>
  <si>
    <t>SELECT
    period,
    stock_symbol,
    date_header,
    standalone_json -&gt;&gt; 'AdjustmentsForWorkingCapital' AS AdjustmentsForWorkingCapital,
    (
        COALESCE((standalone_json -&gt;&gt; 'AdjustmentsForDecreaseIncreaseInInventories')::numeric, 0) +
        COALESCE((standalone_json -&gt;&gt; 'AdjustmentsForDecreaseIncreaseInTradeReceivablesCurrent')::numeric, 0) +
        COALESCE((standalone_json -&gt;&gt; 'AdjustmentsForDecreaseIncreaseInTradeReceivables')::numeric, 0) +
        COALESCE((standalone_json -&gt;&gt; 'AdjustmentsForDecreaseIncreaseInTradeReceivablesNoncurrent')::numeric, 0) +
        COALESCE((standalone_json -&gt;&gt; 'AdjustmentsForDecreaseIncreaseInOtherCurrentAssets')::numeric, 0) +
        COALESCE((standalone_json -&gt;&gt; 'AdjustmentsForDecreaseIncreaseInOtherNoncurrentAssets')::numeric, 0) +
        COALESCE((standalone_json -&gt;&gt; 'AdjustmentsForOtherFinancialAssetsNoncurrent')::numeric, 0) +
        COALESCE((standalone_json -&gt;&gt; 'AdjustmentsForOtherFinancialAssetsCurrent')::numeric, 0) +
        COALESCE((standalone_json -&gt;&gt; 'AdjustmentsForIncreaseDecreaseInTradePayablesCurrent')::numeric, 0) +
        COALESCE((standalone_json -&gt;&gt; 'AdjustmentsForIncreaseDecreaseInTradePayables')::numeric, 0) +
        COALESCE((standalone_json -&gt;&gt; 'AdjustmentsForIncreaseDecreaseInTradePayablesNoncurrent')::numeric, 0) +
        COALESCE((standalone_json -&gt;&gt; 'AdjustmentsForIncreaseDecreaseInOtherCurrentLiabilities')::numeric, 0) +
        COALESCE((standalone_json -&gt;&gt; 'AdjustmentsForIncreaseDecreaseInOtherNoncurrentLiabilities')::numeric, 0) +
        COALESCE((standalone_json -&gt;&gt; 'AdjustmentsForOtherBankBalances')::numeric, 0) +
        COALESCE((standalone_json -&gt;&gt; 'AdjustmentsForProvisionsCurrent')::numeric, 0) +
        COALESCE((standalone_json -&gt;&gt; 'AdjustmentsForProvisionsNoncurrent')::numeric, 0) +
        COALESCE((standalone_json -&gt;&gt; 'AdjustmentsForProvisions')::numeric, 0) +
        COALESCE((standalone_json -&gt;&gt; 'AdjustmentsForOtherFinancialLiabilitiesCurrent')::numeric, 0) +
        COALESCE((standalone_json -&gt;&gt; 'AdjustmentsForOtherFinancialLiabilitiesNoncurrent')::numeric, 0)
    ) AS ComponentsSum
FROM cash_flows
WHERE standalone_json -&gt;&gt; 'AdjustmentsForWorkingCapital' IS NOT NULL
  AND (standalone_json -&gt;&gt; 'AdjustmentsForWorkingCapital')::numeric &lt;&gt;
      (
        COALESCE((standalone_json -&gt;&gt; 'AdjustmentsForDecreaseIncreaseInInventories')::numeric, 0) +
        COALESCE((standalone_json -&gt;&gt; 'AdjustmentsForDecreaseIncreaseInTradeReceivablesCurrent')::numeric, 0) +
        COALESCE((standalone_json -&gt;&gt; 'AdjustmentsForDecreaseIncreaseInTradeReceivables')::numeric, 0) +
        COALESCE((standalone_json -&gt;&gt; 'AdjustmentsForDecreaseIncreaseInTradeReceivablesNoncurrent')::numeric, 0) +
        COALESCE((standalone_json -&gt;&gt; 'AdjustmentsForDecreaseIncreaseInOtherCurrentAssets')::numeric, 0) +
        COALESCE((standalone_json -&gt;&gt; 'AdjustmentsForDecreaseIncreaseInOtherNoncurrentAssets')::numeric, 0) +
        COALESCE((standalone_json -&gt;&gt; 'AdjustmentsForOtherFinancialAssetsNoncurrent')::numeric, 0) +
        COALESCE((standalone_json -&gt;&gt; 'AdjustmentsForOtherFinancialAssetsCurrent')::numeric, 0) +
        COALESCE((standalone_json -&gt;&gt; 'AdjustmentsForIncreaseDecreaseInTradePayablesCurrent')::numeric, 0) +
        COALESCE((standalone_json -&gt;&gt; 'AdjustmentsForIncreaseDecreaseInTradePayables')::numeric, 0) +
        COALESCE((standalone_json -&gt;&gt; 'AdjustmentsForIncreaseDecreaseInTradePayablesNoncurrent')::numeric, 0) +
        COALESCE((standalone_json -&gt;&gt; 'AdjustmentsForIncreaseDecreaseInOtherCurrentLiabilities')::numeric, 0) +
        COALESCE((standalone_json -&gt;&gt; 'AdjustmentsForIncreaseDecreaseInOtherNoncurrentLiabilities')::numeric, 0) +
        COALESCE((standalone_json -&gt;&gt; 'AdjustmentsForOtherBankBalances')::numeric, 0) +
        COALESCE((standalone_json -&gt;&gt; 'AdjustmentsForProvisionsCurrent')::numeric, 0) +
        COALESCE((standalone_json -&gt;&gt; 'AdjustmentsForProvisionsNoncurrent')::numeric, 0) +
        COALESCE((standalone_json -&gt;&gt; 'AdjustmentsForProvisions')::numeric, 0) +
        COALESCE((standalone_json -&gt;&gt; 'AdjustmentsForOtherFinancialLiabilitiesCurrent')::numeric, 0) +
        COALESCE((standalone_json -&gt;&gt; 'AdjustmentsForOtherFinancialLiabilitiesNoncurrent')::numeric, 0)
      );</t>
  </si>
  <si>
    <t>AdjustmentsForWorkingCapital &lt;&gt; Child heads</t>
  </si>
  <si>
    <t>No Issues</t>
  </si>
  <si>
    <t>SELECT
    period,
    stock_symbol,
    date_header,
    consolidated_json -&gt;&gt; 'AdjustmentsForWorkingCapital' AS AdjustmentsForWorkingCapital,
    (
        COALESCE((consolidated_json -&gt;&gt; 'AdjustmentsForDecreaseIncreaseInInventories')::numeric, 0) +
        COALESCE((consolidated_json -&gt;&gt; 'AdjustmentsForDecreaseIncreaseInTradeReceivablesCurrent')::numeric, 0) +
        COALESCE((consolidated_json -&gt;&gt; 'AdjustmentsForDecreaseIncreaseInTradeReceivables')::numeric, 0) +
        COALESCE((consolidated_json -&gt;&gt; 'AdjustmentsForDecreaseIncreaseInTradeReceivablesNoncurrent')::numeric, 0) +
        COALESCE((consolidated_json -&gt;&gt; 'AdjustmentsForDecreaseIncreaseInOtherCurrentAssets')::numeric, 0) +
        COALESCE((consolidated_json -&gt;&gt; 'AdjustmentsForDecreaseIncreaseInOtherNoncurrentAssets')::numeric, 0) +
        COALESCE((consolidated_json -&gt;&gt; 'AdjustmentsForOtherFinancialAssetsNoncurrent')::numeric, 0) +
        COALESCE((consolidated_json -&gt;&gt; 'AdjustmentsForOtherFinancialAssetsCurrent')::numeric, 0) +
        COALESCE((consolidated_json -&gt;&gt; 'AdjustmentsForIncreaseDecreaseInTradePayablesCurrent')::numeric, 0) +
        COALESCE((consolidated_json -&gt;&gt; 'AdjustmentsForIncreaseDecreaseInTradePayables')::numeric, 0) +
        COALESCE((consolidated_json -&gt;&gt; 'AdjustmentsForIncreaseDecreaseInTradePayablesNoncurrent')::numeric, 0) +
        COALESCE((consolidated_json -&gt;&gt; 'AdjustmentsForIncreaseDecreaseInOtherCurrentLiabilities')::numeric, 0) +
        COALESCE((consolidated_json -&gt;&gt; 'AdjustmentsForIncreaseDecreaseInOtherNoncurrentLiabilities')::numeric, 0) +
        COALESCE((consolidated_json -&gt;&gt; 'AdjustmentsForOtherBankBalances')::numeric, 0) +
        COALESCE((consolidated_json -&gt;&gt; 'AdjustmentsForProvisionsCurrent')::numeric, 0) +
        COALESCE((consolidated_json -&gt;&gt; 'AdjustmentsForProvisionsNoncurrent')::numeric, 0) +
        COALESCE((consolidated_json -&gt;&gt; 'AdjustmentsForProvisions')::numeric, 0) +
        COALESCE((consolidated_json -&gt;&gt; 'AdjustmentsForOtherFinancialLiabilitiesCurrent')::numeric, 0) +
        COALESCE((consolidated_json -&gt;&gt; 'AdjustmentsForOtherFinancialLiabilitiesNoncurrent')::numeric, 0)
    ) AS ComponentsSum
FROM cash_flows
WHERE consolidated_json -&gt;&gt; 'AdjustmentsForWorkingCapital' IS NOT NULL
  AND (consolidated_json -&gt;&gt; 'AdjustmentsForWorkingCapital')::numeric &lt;&gt;
      (
        COALESCE((consolidated_json -&gt;&gt; 'AdjustmentsForDecreaseIncreaseInInventories')::numeric, 0) +
        COALESCE((consolidated_json -&gt;&gt; 'AdjustmentsForDecreaseIncreaseInTradeReceivablesCurrent')::numeric, 0) +
        COALESCE((consolidated_json -&gt;&gt; 'AdjustmentsForDecreaseIncreaseInTradeReceivables')::numeric, 0) +
        COALESCE((consolidated_json -&gt;&gt; 'AdjustmentsForDecreaseIncreaseInTradeReceivablesNoncurrent')::numeric, 0) +
        COALESCE((consolidated_json -&gt;&gt; 'AdjustmentsForDecreaseIncreaseInOtherCurrentAssets')::numeric, 0) +
        COALESCE((consolidated_json -&gt;&gt; 'AdjustmentsForDecreaseIncreaseInOtherNoncurrentAssets')::numeric, 0) +
        COALESCE((consolidated_json -&gt;&gt; 'AdjustmentsForOtherFinancialAssetsNoncurrent')::numeric, 0) +
        COALESCE((consolidated_json -&gt;&gt; 'AdjustmentsForOtherFinancialAssetsCurrent')::numeric, 0) +
        COALESCE((consolidated_json -&gt;&gt; 'AdjustmentsForIncreaseDecreaseInTradePayablesCurrent')::numeric, 0) +
        COALESCE((consolidated_json -&gt;&gt; 'AdjustmentsForIncreaseDecreaseInTradePayables')::numeric, 0) +
        COALESCE((consolidated_json -&gt;&gt; 'AdjustmentsForIncreaseDecreaseInTradePayablesNoncurrent')::numeric, 0) +
        COALESCE((consolidated_json -&gt;&gt; 'AdjustmentsForIncreaseDecreaseInOtherCurrentLiabilities')::numeric, 0) +
        COALESCE((consolidated_json -&gt;&gt; 'AdjustmentsForIncreaseDecreaseInOtherNoncurrentLiabilities')::numeric, 0) +
        COALESCE((consolidated_json -&gt;&gt; 'AdjustmentsForOtherBankBalances')::numeric, 0) +
        COALESCE((consolidated_json -&gt;&gt; 'AdjustmentsForProvisionsCurrent')::numeric, 0) +
        COALESCE((consolidated_json -&gt;&gt; 'AdjustmentsForProvisionsNoncurrent')::numeric, 0) +
        COALESCE((consolidated_json -&gt;&gt; 'AdjustmentsForProvisions')::numeric, 0) +
        COALESCE((consolidated_json -&gt;&gt; 'AdjustmentsForOtherFinancialLiabilitiesCurrent')::numeric, 0) +
        COALESCE((consolidated_json -&gt;&gt; 'AdjustmentsForOtherFinancialLiabilitiesNoncurrent')::numeric, 0)
      );</t>
  </si>
  <si>
    <t>CashFlowsFromUsedInOperations &lt;&gt; Child heads</t>
  </si>
  <si>
    <t>SELECT
    cf.period,
    cf.stock_symbol,
    cf.date_header,
    cp.market_cap,
    (COALESCE((cf.standalone_json -&gt;&gt; 'AdjustmentsForReconcileProfitLoss')::numeric, 0) -
     COALESCE((cf.standalone_json -&gt;&gt; 'AdjustmentsToProfitLoss')::numeric, 0)) AS Difference_Reconcile_vs_Adjustments
FROM cash_flows cf
JOIN company_profiles cp 
    ON cf.stock_symbol = cp.stock_symbol
	where cp.industry &lt;&gt; 'Banks' order by cp.market_cap desc</t>
  </si>
  <si>
    <t>Working capital calc</t>
  </si>
  <si>
    <t>Working capital  and other adjustment calc</t>
  </si>
  <si>
    <t>SELECT
    cf.period,
    cf.stock_symbol,
    cf.date_header,
    cp.market_cap,
    -- Working capital change sum
    (
        COALESCE((cf.consolidated_json -&gt;&gt; 'AdjustmentsForDecreaseIncreaseInInventories')::numeric, 0) +
        COALESCE((cf.consolidated_json -&gt;&gt; 'AdjustmentsForDecreaseIncreaseInTradeReceivablesCurrent')::numeric, 0) +
        COALESCE((cf.consolidated_json -&gt;&gt; 'AdjustmentsForDecreaseIncreaseInTradeReceivables')::numeric, 0) +
        COALESCE((cf.consolidated_json -&gt;&gt; 'AdjustmentsForDecreaseIncreaseInTradeReceivablesNoncurrent')::numeric, 0) +
        COALESCE((cf.consolidated_json -&gt;&gt; 'AdjustmentsForDecreaseIncreaseInOtherCurrentAssets')::numeric, 0) +
        COALESCE((cf.consolidated_json -&gt;&gt; 'AdjustmentsForDecreaseIncreaseInOtherNoncurrentAssets')::numeric, 0) +
        COALESCE((cf.consolidated_json -&gt;&gt; 'AdjustmentsForOtherFinancialAssetsNoncurrent')::numeric, 0) +
        COALESCE((cf.consolidated_json -&gt;&gt; 'AdjustmentsForOtherFinancialAssetsCurrent')::numeric, 0) +
        COALESCE((cf.consolidated_json -&gt;&gt; 'AdjustmentsForIncreaseDecreaseInTradePayablesCurrent')::numeric, 0) +
        COALESCE((cf.consolidated_json -&gt;&gt; 'AdjustmentsForIncreaseDecreaseInTradePayables')::numeric, 0) +
        COALESCE((cf.consolidated_json -&gt;&gt; 'AdjustmentsForIncreaseDecreaseInTradePayablesNoncurrent')::numeric, 0) +
        COALESCE((cf.consolidated_json -&gt;&gt; 'AdjustmentsForIncreaseDecreaseInOtherCurrentLiabilities')::numeric, 0) +
        COALESCE((cf.consolidated_json -&gt;&gt; 'AdjustmentsForIncreaseDecreaseInOtherNoncurrentLiabilities')::numeric, 0) +
        COALESCE((cf.consolidated_json -&gt;&gt; 'AdjustmentsForOtherBankBalances')::numeric, 0) +
        COALESCE((cf.consolidated_json -&gt;&gt; 'AdjustmentsForProvisionsCurrent')::numeric, 0) +
        COALESCE((cf.consolidated_json -&gt;&gt; 'AdjustmentsForProvisionsNoncurrent')::numeric, 0) +
        COALESCE((cf.consolidated_json -&gt;&gt; 'AdjustmentsForProvisions')::numeric, 0) +
        COALESCE((cf.consolidated_json -&gt;&gt; 'AdjustmentsForOtherFinancialLiabilitiesCurrent')::numeric, 0) +
        COALESCE((cf.consolidated_json -&gt;&gt; 'AdjustmentsForOtherFinancialLiabilitiesNoncurrent')::numeric, 0)
    ) AS Working_Cap_change,
    -- Other adjustments sum (example: pick everything else)
    (
        --COALESCE((cf.consolidated_json -&gt;&gt; 'ProfitBeforeTax')::numeric, 0) +
        --COALESCE((cf.consolidated_json -&gt;&gt; 'ProfitBeforeExtraordinaryItemsAndTax')::numeric, 0) +
        COALESCE((cf.consolidated_json -&gt;&gt; 'AdjustmentsForUnrealisedForeignExchangeLossesGains')::numeric, 0) +
        COALESCE((cf.consolidated_json -&gt;&gt; 'AdjustmentsForDepreciationAndAmortisationExpense')::numeric, 0) +
        COALESCE((cf.consolidated_json -&gt;&gt; 'AdjustmentsForImpairmentLossReversalOfImpairmentLossRecognisedInProfitOrLoss')::numeric, 0) +
        COALESCE((cf.consolidated_json -&gt;&gt; 'AdjustmentsForFinanceCosts')::numeric, 0) +
        COALESCE((cf.consolidated_json -&gt;&gt; 'AdjustmentsForDividendIncome')::numeric, 0) +
        COALESCE((cf.consolidated_json -&gt;&gt; 'AdjustmentsForInterestIncome')::numeric, 0) +
        COALESCE((cf.consolidated_json -&gt;&gt; 'AdjustmentsForSharebasedPayments')::numeric, 0) +
        COALESCE((cf.consolidated_json -&gt;&gt; 'AdjustmentsForFairValueGainsLosses')::numeric, 0) +
        COALESCE((cf.consolidated_json -&gt;&gt; 'AdjustmentsForUndistributedProfitsOfAssociates')::numeric, 0) +
        COALESCE((cf.consolidated_json -&gt;&gt; 'OtherAdjustmentsForWhichCashEffectsAreInvestingOrFinancingCashFlow')::numeric, 0) +
        COALESCE((cf.consolidated_json -&gt;&gt; 'OtherAdjustmentsToReconcileProfitLoss')::numeric, 0) +
        COALESCE((cf.consolidated_json -&gt;&gt; 'OtherAdjustmentsForNoncashItems')::numeric, 0) +
        COALESCE((cf.consolidated_json -&gt;&gt; 'ShareOfProfitAndLossFromPartnershipFirmOrAssociationOfPersonsOrLimitedLiabilityPartnerships')::numeric, 0) +
        COALESCE((cf.consolidated_json -&gt;&gt; 'DividendsReceivedClassifiedAsOperatingActivities')::numeric, 0) +
        COALESCE((cf.consolidated_json -&gt;&gt; 'InterestPaidClassifiedAsOperatingActivities')::numeric, 0) +
        COALESCE((cf.consolidated_json -&gt;&gt; 'InterestReceivedClassifiedAsOperatingActivities')::numeric, 0) +
        --COALESCE((cf.consolidated_json -&gt;&gt; 'IncomeTaxesPaidRefundClassifiedAsOperatingActivities')::numeric, 0) +
        COALESCE((cf.consolidated_json -&gt;&gt; 'OtherInflowsOutflowsOfCashClassifiedAsOperatingActivities')::numeric, 0) +
        COALESCE((cf.consolidated_json -&gt;&gt; 'ProceedsFromExtraordinaryItemsClassifiedAsOperatingActivities')::numeric, 0) +
        COALESCE((cf.consolidated_json -&gt;&gt; 'PaymentForExtraordinaryItemsClassifiedAsOperatingActivities')::numeric, 0)
    ) AS Other_Adjustments,
    COALESCE((cf.consolidated_json -&gt;&gt; 'AdjustmentsForReconcileProfitLoss')::numeric, 0) As AdjustmentsForReconcileProfitLoss,
	COALESCE((cf.consolidated_json -&gt;&gt; 'AdjustmentsToProfitLoss')::numeric, 0) As AdjustmentsToProfitLoss,
	COALESCE((cf.consolidated_json -&gt;&gt; 'AdjustmentsForWorkingCapital')::numeric, 0) As WC,
	(COALESCE((cf.consolidated_json -&gt;&gt; 'AdjustmentsForReconcileProfitLoss')::numeric, 0) -
    COALESCE((cf.consolidated_json -&gt;&gt; 'AdjustmentsToProfitLoss')::numeric, 0)) AS working_cap_chg2
FROM cash_flows cf
JOIN company_profiles cp
  ON cf.stock_symbol = cp.stock_symbol
WHERE cf.period = 'Annual'
  AND cf.date_header &lt;&gt; 'YTD'
  AND cp.industry &lt;&gt; 'Banks'
ORDER BY cp.market_cap DESC;</t>
  </si>
  <si>
    <t>SELECT
    pl.stock_symbol,
    pl.date_header,
    pl.period,
    -- Converted to crore
    ROUND(CAST(pl.standalone_json-&gt;&gt;'ProfitLossForPeriodForEPS' AS NUMERIC) / 10000000, 2) AS standalone_PL_crore,
    ROUND(CAST(pl.consolidated_json-&gt;&gt;'ProfitLossForPeriodForEPS' AS NUMERIC) / 10000000, 2) AS consolidated_PL_crore,
    -- Round CalculatedEPS to 2 decimals
    ROUND(CAST(pl.standalone_json-&gt;&gt;'CalculatedEPS' AS NUMERIC), 2) AS standalone_CalculatedEPS,
    ROUND(CAST(pl.standalone_json-&gt;&gt;'AdjustedEPS' AS NUMERIC), 2) AS standalone_AdjustedEPS,
    ROUND(CAST(pl.standalone_json-&gt;&gt;'AdjustedDilutedEPS' AS NUMERIC), 2) AS standalone_AdjustedDilutedEPS,
    ROUND(CAST(pl.consolidated_json-&gt;&gt;'CalculatedEPS' AS NUMERIC), 2) AS consolidated_CalculatedEPS,
    ROUND(CAST(pl.consolidated_json-&gt;&gt;'AdjustedEPS' AS NUMERIC), 2) AS consolidated_AdjustedEPS,
    ROUND(CAST(pl.consolidated_json-&gt;&gt;'AdjustedDilutedEPS' AS NUMERIC), 2) AS consolidated_AdjustedDilutedEPS,
    -- EPS Computed using Profit / NumberOfShares
    ROUND(
        CAST(pl.standalone_json-&gt;&gt;'ProfitLossForPeriodForEPS' AS NUMERIC) / 
        NULLIF(CAST(ss.shareholding_pattern-&gt;&gt;'NumberOfShares' AS NUMERIC), 0), 
    2) AS standalone_EPS_Computed,
    ROUND(
        CAST(pl.consolidated_json-&gt;&gt;'ProfitLossForPeriodForEPS' AS NUMERIC) / 
        NULLIF(CAST(ss.shareholding_pattern-&gt;&gt;'NumberOfShares' AS NUMERIC), 0), 
    2) AS consolidated_EPS_Computed,
    -- NumberOfShares used in EPS Computation
    NULLIF(CAST(ss.shareholding_pattern-&gt;&gt;'NumberOfShares' AS NUMERIC), 0) AS number_of_shares_used,
    -- % Difference: standalone_CalculatedEPS vs standalone_AdjustedDilutedEPS
    CASE 
        WHEN CAST(pl.standalone_json-&gt;&gt;'AdjustedDilutedEPS' AS NUMERIC) != 0 THEN
            ROUND((
                (CAST(pl.standalone_json-&gt;&gt;'CalculatedEPS' AS NUMERIC) - CAST(pl.standalone_json-&gt;&gt;'AdjustedDilutedEPS' AS NUMERIC)) /
                CAST(pl.standalone_json-&gt;&gt;'AdjustedDilutedEPS' AS NUMERIC)
            ) * 100, 2)
        ELSE NULL
    END AS standalone_EPS_pct_diff,
    -- % Difference: consolidated_CalculatedEPS vs consolidated_AdjustedDilutedEPS
    CASE 
        WHEN CAST(pl.consolidated_json-&gt;&gt;'AdjustedDilutedEPS' AS NUMERIC) != 0 THEN
            ROUND((
                (CAST(pl.consolidated_json-&gt;&gt;'CalculatedEPS' AS NUMERIC) - CAST(pl.consolidated_json-&gt;&gt;'AdjustedDilutedEPS' AS NUMERIC)) /
                CAST(pl.consolidated_json-&gt;&gt;'AdjustedDilutedEPS' AS NUMERIC)
            ) * 100, 2)
        ELSE NULL
    END AS consolidated_EPS_pct_diff,
    -- % Difference: standalone_CalculatedEPS vs standalone_EPS_Computed
    CASE 
        WHEN 
            ROUND(
                CAST(pl.standalone_json-&gt;&gt;'ProfitLossForPeriodForEPS' AS NUMERIC) / 
                NULLIF(CAST(ss.shareholding_pattern-&gt;&gt;'NumberOfShares' AS NUMERIC), 0), 2
            ) != 0
        THEN ROUND((
            (CAST(pl.standalone_json-&gt;&gt;'CalculatedEPS' AS NUMERIC) - 
             ROUND(CAST(pl.standalone_json-&gt;&gt;'ProfitLossForPeriodForEPS' AS NUMERIC) / 
                   NULLIF(CAST(ss.shareholding_pattern-&gt;&gt;'NumberOfShares' AS NUMERIC), 0), 2))
            / ROUND(CAST(pl.standalone_json-&gt;&gt;'ProfitLossForPeriodForEPS' AS NUMERIC) / 
                   NULLIF(CAST(ss.shareholding_pattern-&gt;&gt;'NumberOfShares' AS NUMERIC), 0), 2)
        ) * 100, 2)
        ELSE NULL
    END AS standalone_Calc_vs_Computed_pct_diff,
    -- % Difference: consolidated_CalculatedEPS vs consolidated_EPS_Computed
    CASE 
        WHEN 
            ROUND(
                CAST(pl.consolidated_json-&gt;&gt;'ProfitLossForPeriodForEPS' AS NUMERIC) / 
                NULLIF(CAST(ss.shareholding_pattern-&gt;&gt;'NumberOfShares' AS NUMERIC), 0), 2
            ) != 0
        THEN ROUND((
            (CAST(pl.consolidated_json-&gt;&gt;'CalculatedEPS' AS NUMERIC) - 
             ROUND(CAST(pl.consolidated_json-&gt;&gt;'ProfitLossForPeriodForEPS' AS NUMERIC) / 
                   NULLIF(CAST(ss.shareholding_pattern-&gt;&gt;'NumberOfShares' AS NUMERIC), 0), 2))
            / ROUND(CAST(pl.consolidated_json-&gt;&gt;'ProfitLossForPeriodForEPS' AS NUMERIC) / 
                   NULLIF(CAST(ss.shareholding_pattern-&gt;&gt;'NumberOfShares' AS NUMERIC), 0), 2)
        ) * 100, 2)
        ELSE NULL
    END AS consolidated_Calc_vs_Computed_pct_diff,
    -- Match or Do not match based on difference less than 5%
    CASE
        WHEN CAST(pl.standalone_json-&gt;&gt;'AdjustedEPS' AS NUMERIC) = 0 THEN 'Do not match'
        WHEN ABS(
            (CAST(pl.standalone_json-&gt;&gt;'CalculatedEPS' AS NUMERIC) - CAST(pl.standalone_json-&gt;&gt;'AdjustedEPS' AS NUMERIC))
            / CAST(pl.standalone_json-&gt;&gt;'AdjustedEPS' AS NUMERIC)
            ) &lt; 0.05 THEN 'Match'
        ELSE 'Do not match'
    END AS standalone_EPS_match_status,
    -- Corporate action check
    CASE 
        WHEN sbu.stock_symbol IS NOT NULL THEN 'Yes'
        ELSE 'No'
    END AS corporate_action,
    -- Market cap from company_profiles
    cp.market_cap,
    -- Exclude_quarter flag
    CASE
        WHEN
            LENGTH(TRIM(SPLIT_PART(pl.date_header, ' ', 2))) = 4
            AND SPLIT_PART(pl.date_header, ' ', 2) ~ '^\d{4}$'
            AND CAST(SPLIT_PART(pl.date_header, ' ', 2) AS INTEGER) &lt;= 2023
            AND LOWER(pl.period) LIKE '%quarterly%'
        THEN 'Yes'
        ELSE NULL
    END AS Exclude_quarter
FROM
    profit_losses pl
LEFT JOIN (
    SELECT DISTINCT stock_symbol FROM utils.split_bonus_utils
) sbu ON pl.stock_symbol = sbu.stock_symbol
LEFT JOIN shareholder_summaries ss
    ON pl.stock_symbol = ss.stock_symbol
    AND pl.date_header = ss.date_header
LEFT JOIN company_profiles cp
    ON pl.stock_symbol = cp.stock_symbol
WHERE
    (pl.standalone_json-&gt;&gt;'CalculatedEPS') IS NOT NULL
    OR (pl.consolidated_json-&gt;&gt;'CalculatedEPS') IS NOT NULL
ORDER BY
    pl.timestamp DESC;</t>
  </si>
  <si>
    <t>WITH base AS (
    SELECT
        pl.stock_symbol,
        pl.date_header,
        pl.period,
        -- Extract values
        CAST(pl.standalone_json-&gt;&gt;'ProfitLossForPeriodForEPS' AS NUMERIC) AS profit_loss_eps,
        CAST(pl.standalone_json-&gt;&gt;'CalculatedEPS' AS NUMERIC) AS calculated_eps,
	    CAST(pl.standalone_json-&gt;&gt;'AdjustedDilutedEPS' AS NUMERIC) AS adjusted_eps,
        CAST(sh.shareholding_pattern-&gt;&gt;'NumberOfShares' AS NUMERIC) AS number_of_shares,
        cp.market_cap,
        -- Derived EPS (rounded first to 2 decimals)
        ROUND(
            CAST(pl.standalone_json-&gt;&gt;'ProfitLossForPeriodForEPS' AS NUMERIC) /
            NULLIF(CAST(sh.shareholding_pattern-&gt;&gt;'NumberOfShares' AS NUMERIC), 0),
            2
        ) AS derived_eps
    FROM profit_losses pl
    JOIN shareholder_summaries sh 
        ON pl.stock_symbol = sh.stock_symbol
       AND pl.date_header = sh.date_header
    JOIN company_profiles cp
        ON pl.stock_symbol = cp.stock_symbol
    WHERE pl.date_header &lt;&gt; 'TTM'
      --AND pl.period = 'Annual'
)
SELECT
    stock_symbol,
    date_header,
    period,
    profit_loss_eps,
    calculated_eps,
	adjusted_eps, 
    number_of_shares,
    market_cap,
    derived_eps,
    -- % Difference using rounded derived_eps
    ROUND(
        ((derived_eps - calculated_eps) / NULLIF(calculated_eps, 0)) * 100,
        2
    ) AS percent_diff
FROM base
WHERE ABS(((derived_eps - calculated_eps) / NULLIF(calculated_eps, 0)) * 100) &gt; 3
ORDER BY market_cap DESC;</t>
  </si>
  <si>
    <t>WITH base AS (
    SELECT
        pl.stock_symbol,
        pl.date_header,
        pl.period,
        -- Extract values
        CAST(pl.consolidated_json-&gt;&gt;'ProfitLossForPeriodForEPS' AS NUMERIC) AS profit_loss_eps,
        CAST(pl.consolidated_json-&gt;&gt;'CalculatedEPS' AS NUMERIC) AS calculated_eps,
	    CAST(pl.consolidated_json-&gt;&gt;'AdjustedDilutedEPS' AS NUMERIC) AS adjusted_eps,
        CAST(sh.shareholding_pattern-&gt;&gt;'NumberOfShares' AS NUMERIC) AS number_of_shares,
        cp.market_cap,
        -- Derived EPS (rounded first to 2 decimals)
        ROUND(
            CAST(pl.consolidated_json-&gt;&gt;'ProfitLossForPeriodForEPS' AS NUMERIC) /
            NULLIF(CAST(sh.shareholding_pattern-&gt;&gt;'NumberOfShares' AS NUMERIC), 0),
            2
        ) AS derived_eps
    FROM profit_losses pl
    JOIN shareholder_summaries sh 
        ON pl.stock_symbol = sh.stock_symbol
       AND pl.date_header = sh.date_header
    JOIN company_profiles cp
        ON pl.stock_symbol = cp.stock_symbol
    WHERE pl.date_header &lt;&gt; 'TTM'
      --AND pl.period = 'Annual'
)
SELECT
    stock_symbol,
    date_header,
    period,
    profit_loss_eps,
    calculated_eps,
	adjusted_eps, 
    number_of_shares,
    market_cap,
    derived_eps,
    -- % Difference using rounded derived_eps
    ROUND(
        ((derived_eps - calculated_eps) / NULLIF(calculated_eps, 0)) * 100,
        2
    ) AS percent_diff
FROM base
WHERE ABS(((derived_eps - calculated_eps) / NULLIF(calculated_eps, 0)) * 100) &gt; 3
ORDER BY market_cap DESC;</t>
  </si>
  <si>
    <t>Compare of calcEPS = Profit for EPS/Shares</t>
  </si>
  <si>
    <t>AdjustedDilutedEPS &lt;&gt; CalculatedEPS when NO Corporate action</t>
  </si>
  <si>
    <t>WITH base AS (
    SELECT
        pl.stock_symbol,
        pl.date_header,
        pl.period,
        -- Extract values
        CAST(pl.standalone_json-&gt;&gt;'ProfitLossForPeriodForEPS' AS NUMERIC) AS profit_loss_eps,
        CAST(pl.standalone_json-&gt;&gt;'CalculatedEPS' AS NUMERIC) AS calculated_eps,
        ROUND(CAST(pl.standalone_json-&gt;&gt;'AdjustedDilutedEPS' AS NUMERIC), 2) AS adjusted_diluted_eps,
        ROUND(CAST(pl.standalone_json-&gt;&gt;'AdjustedEPS' AS NUMERIC), 2) AS adjusted_eps,
        CAST(sh.shareholding_pattern-&gt;&gt;'NumberOfShares' AS NUMERIC) AS number_of_shares,
        cp.market_cap
    FROM profit_losses pl
    JOIN shareholder_summaries sh 
        ON pl.stock_symbol = sh.stock_symbol
       AND pl.date_header = sh.date_header
    JOIN company_profiles cp
        ON pl.stock_symbol = cp.stock_symbol
    WHERE pl.date_header &lt;&gt; 'TTM'
)
SELECT
    b.stock_symbol,
    b.date_header,
    b.period,
    b.profit_loss_eps,
    b.calculated_eps,
    b.adjusted_eps,
    b.adjusted_diluted_eps,
    b.number_of_shares,
    b.market_cap,
    -- % difference between adjusted and calculated EPS
    ROUND(
        ((b.adjusted_eps - b.calculated_eps) / NULLIF(b.calculated_eps, 0)) * 100,
        2
    ) AS percent_diff_adjusted,
    -- % difference between adjusted diluted and calculated EPS
    ROUND(
        ((b.adjusted_diluted_eps - b.calculated_eps) / NULLIF(b.calculated_eps, 0)) * 100,
        2
    ) AS percent_diff_diluted,
    -- Check if rounded CalculatedEPS/100000 equals AdjustedDilutedEPS
    CASE 
        WHEN b.adjusted_diluted_eps = 0 THEN NULL
        WHEN ROUND(b.calculated_eps / 100000, 2) = b.adjusted_diluted_eps THEN TRUE
        ELSE FALSE
    END AS is_scaled_match
FROM base b
JOIN utils.split_bonus_utils sbu
    ON b.stock_symbol = sbu.stock_symbol
   AND sbu.corp_action NOT IN ('Bonus', 'Split', 'Rights')
WHERE 
    (ABS((b.adjusted_eps - b.calculated_eps) / NULLIF(b.calculated_eps, 0) * 100) &gt; 10
    OR ABS((b.adjusted_diluted_eps - b.calculated_eps) / NULLIF(b.calculated_eps, 0) * 100) &gt; 10)
    AND ABS((b.adjusted_eps - b.calculated_eps) / NULLIF(b.calculated_eps, 0) * 100) &gt;= 10
    AND ABS((b.adjusted_diluted_eps - b.calculated_eps) / NULLIF(b.calculated_eps, 0) * 100) &gt;= 10
ORDER BY b.profit_loss_eps DESC;</t>
  </si>
  <si>
    <t>SELECT
    pl.stock_symbol,
    pl.to_date,
    pl.period,
    pl.date_header,
    ROUND((pl.consolidated_json -&gt;&gt; 'Income')::NUMERIC / 10000000, 2) AS income_crore,
    ROUND((pl.consolidated_json -&gt;&gt; 'Expenses')::NUMERIC / 10000000, 2) AS expenses_crore,
    ROUND((pl.consolidated_json -&gt;&gt; 'ExceptionalItemsBeforeTax')::NUMERIC / 10000000, 2) AS exceptional_items_before_tax_crore,
    ROUND((pl.consolidated_json -&gt;&gt; 'ProfitLossFromDiscontinuedOperationsAfterTax')::NUMERIC / 10000000, 2) AS discontinued_operations_crore,
    ROUND((pl.consolidated_json -&gt;&gt; 'ShareOfProfitLossOfAssociatesAndJointVenturesAccountedForUsingEquityMethod')::NUMERIC / 10000000, 2) AS profit_loss_associate_crore,
    ROUND((pl.consolidated_json -&gt;&gt; 'NetMovementInRegulatoryDeferralAccountBalancesRelatedToProfitOrLossAndTheRelatedDeferredTaxMovement')::NUMERIC / 10000000, 2) AS regulatory_deferral_account_crore,
    ROUND((pl.consolidated_json -&gt;&gt; 'ExtraordinaryItems')::NUMERIC / 10000000, 2) AS extraordinary_items_crore,
    ROUND((pl.consolidated_json -&gt;&gt; 'TaxExpense')::NUMERIC / 10000000, 2) AS tax_expense_crore,
    ROUND((pl.consolidated_json -&gt;&gt; 'ProfitOrLossAttributableToNonControllingInterests')::NUMERIC / 10000000, 2) AS non_controlling_interest_crore,
    ROUND((pl.consolidated_json -&gt;&gt; 'ProfitOrLossAttributableToOwnersOfParent')::NUMERIC / 10000000, 2) AS attributable_to_owners_crore,
    ROUND((pl.consolidated_json -&gt;&gt; 'ProfitLossForPeriod')::NUMERIC / 10000000, 2) AS profit_loss_DB,
    ROUND(cp.market_cap, 2) AS market_cap_crore,
    -- New calculated fields
    ROUND((
        (pl.consolidated_json -&gt;&gt; 'Income')::NUMERIC
        - (pl.consolidated_json -&gt;&gt; 'Expenses')::NUMERIC
        + COALESCE((pl.consolidated_json -&gt;&gt; 'ExceptionalItemsBeforeTax')::NUMERIC, 0)
        + COALESCE((pl.consolidated_json -&gt;&gt; 'ProfitLossFromDiscontinuedOperationsAfterTax')::NUMERIC, 0)
        + COALESCE((pl.consolidated_json -&gt;&gt; 'ShareOfProfitLossOfAssociatesAndJointVenturesAccountedForUsingEquityMethod')::NUMERIC, 0)
        + COALESCE((pl.consolidated_json -&gt;&gt; 'NetMovementInRegulatoryDeferralAccountBalancesRelatedToProfitOrLossAndTheRelatedDeferredTaxMovement')::NUMERIC, 0)
        + COALESCE((pl.consolidated_json -&gt;&gt; 'ExtraordinaryItems')::NUMERIC, 0)
        - (pl.consolidated_json -&gt;&gt; 'TaxExpense')::NUMERIC
    ) / 10000000, 2) AS profit_loss_calc,
  -- Flag if discontinued ops matches the difference
 CASE
  WHEN
    ROUND(
      COALESCE((pl.consolidated_json -&gt;&gt; 'ProfitLossFromDiscontinuedOperationsAfterTax')::NUMERIC, 0),
      2
    )
    =
    -ROUND(
      (
        (pl.consolidated_json -&gt;&gt; 'ProfitLossForPeriod')::NUMERIC
        -
        (
          (pl.consolidated_json -&gt;&gt; 'Income')::NUMERIC
          - (pl.consolidated_json -&gt;&gt; 'Expenses')::NUMERIC
          + COALESCE((pl.consolidated_json -&gt;&gt; 'ExceptionalItemsBeforeTax')::NUMERIC, 0)
	      + COALESCE((pl.consolidated_json -&gt;&gt; 'ProfitLossFromDiscontinuedOperationsAfterTax')::NUMERIC, 0)
          + COALESCE((pl.consolidated_json -&gt;&gt; 'ShareOfProfitLossOfAssociatesAndJointVenturesAccountedForUsingEquityMethod')::NUMERIC, 0)
          + COALESCE((pl.consolidated_json -&gt;&gt; 'NetMovementInRegulatoryDeferralAccountBalancesRelatedToProfitOrLossAndTheRelatedDeferredTaxMovement')::NUMERIC, 0)
          + COALESCE((pl.consolidated_json -&gt;&gt; 'ExtraordinaryItems')::NUMERIC, 0)
	      - (pl.consolidated_json -&gt;&gt; 'TaxExpense')::NUMERIC
        )
      ), 2
    )
  THEN 'true'
  ELSE 'false'
END AS discontinued_matches_component_difference,
	CASE 
        WHEN consolidated_overrides IS NOT NULL THEN true
        ELSE false
    END AS has_overrides
FROM public.profit_losses pl
JOIN public.company_profiles cp ON pl.stock_symbol = cp.stock_symbol
WHERE
ABS(
        ROUND((
            (pl.consolidated_json -&gt;&gt; 'Income')::NUMERIC
            - (pl.consolidated_json -&gt;&gt; 'Expenses')::NUMERIC
            + COALESCE((pl.consolidated_json -&gt;&gt; 'ExceptionalItemsBeforeTax')::NUMERIC, 0)
            + COALESCE((pl.consolidated_json -&gt;&gt; 'ProfitLossFromDiscontinuedOperationsAfterTax')::NUMERIC, 0)
            + COALESCE((pl.consolidated_json -&gt;&gt; 'ShareOfProfitLossOfAssociatesAndJointVenturesAccountedForUsingEquityMethod')::NUMERIC, 0)
            + COALESCE((pl.consolidated_json -&gt;&gt; 'NetMovementInRegulatoryDeferralAccountBalancesRelatedToProfitOrLossAndTheRelatedDeferredTaxMovement')::NUMERIC, 0)
            + COALESCE((pl.consolidated_json -&gt;&gt; 'ExtraordinaryItems')::NUMERIC, 0)
            - (pl.consolidated_json -&gt;&gt; 'TaxExpense')::NUMERIC
        ) / 10000000, 2)
        -
        ROUND((pl.consolidated_json -&gt;&gt; 'ProfitLossForPeriod')::NUMERIC / 10000000, 2)
    ) &gt; 5
ORDER BY cp.market_cap DESC;</t>
  </si>
  <si>
    <t>Cash Flows</t>
  </si>
  <si>
    <t>Balance Sheet</t>
  </si>
  <si>
    <t>SELECT *
FROM profit_losses
WHERE date_header IN ('Mar 2017','Mar 2016','Mar 2015')
  AND (
    -- standalone_json checks
    (NOT (standalone_json ? 'Income') OR (standalone_json-&gt;&gt;'Income')::numeric = 0)
    AND (NOT (standalone_json ? 'Expenses') OR (standalone_json-&gt;&gt;'Expenses')::numeric = 0)
    AND (NOT (standalone_json ? 'ProfitBeforeTax') OR (standalone_json-&gt;&gt;'ProfitBeforeTax')::numeric = 0)
  )
  AND (
    -- consolidated_json checks
    (NOT (consolidated_json ? 'Income') OR (consolidated_json-&gt;&gt;'Income')::numeric = 0)
    AND (NOT (consolidated_json ? 'Expenses') OR (consolidated_json-&gt;&gt;'Expenses')::numeric = 0)
    AND (NOT (consolidated_json ? 'ProfitBeforeTax') OR (consolidated_json-&gt;&gt;'ProfitBeforeTax')::numeric = 0)
  )
ORDER BY stock_symbol ASC;</t>
  </si>
  <si>
    <t>SELECT 
    cf.*,
    cp.market_cap
FROM cash_flows cf
LEFT JOIN company_profiles cp
    ON cf.stock_symbol = cp.stock_symbol
WHERE cf.date_header IN (
        'Mar 2018','Mar 2019','Mar 2020','Mar 2021',
        'Sep 2018','Sep 2019','Sep 2020'
    )
  AND (
        -- standalone_json checks
        NOT (cf.standalone_json ? 'CashFlowsFromUsedInInvestingActivities')
        AND NOT (cf.standalone_json ? 'CashFlowsFromUsedInOperatingActivities')
        AND NOT (cf.standalone_json ? 'CashFlowsFromUsedInFinancingActivities')
      )
  AND (
        -- consolidated_json checks
        NOT (cf.consolidated_json ? 'CashFlowsFromUsedInInvestingActivities')
        AND NOT (cf.consolidated_json ? 'CashFlowsFromUsedInOperatingActivities')
        AND NOT (cf.consolidated_json ? 'CashFlowsFromUsedInFinancingActivities')
      )
ORDER BY cp.market_cap desc;</t>
  </si>
  <si>
    <t>Update SQL</t>
  </si>
  <si>
    <t>SELECT
    cf.stock_symbol,
    cf.to_date, cf.date_header, 
    cf.period,
    ROUND(COALESCE((cf.standalone_json -&gt;&gt; 'CashFlowsFromUsedInInvestingActivities')::NUMERIC, 0) / 10000000, 2) AS InvestingCashFlow_crore,
    ROUND((
        COALESCE((cf.standalone_json -&gt;&gt; 'CashFlowsFromLosingControlOfSubsidiariesOrOtherBusinessesClassifiedAsInvestingActivities')::NUMERIC, 0) +
        COALESCE((cf.standalone_json -&gt;&gt; 'CashFlowsUsedInObtainingControlOfSubsidiariesOrOtherBusinessesClassifiedAsInvestingActivities')::NUMERIC, 0) +
        COALESCE((cf.standalone_json -&gt;&gt; 'OtherCashReceiptsFromSalesOfEquityOrDebtInstrumentsOfOtherEntitiesClassifiedAsInvestingActivities')::NUMERIC, 0) +
        COALESCE((cf.standalone_json -&gt;&gt; 'OtherCashPaymentsToAcquireEquityOrDebtInstrumentsOfOtherEntitiesClassifiedAsInvestingActivities')::NUMERIC, 0) +
        COALESCE((cf.standalone_json -&gt;&gt; 'OtherCashReceiptsFromSalesOfInterestsInJointVenturesClassifiedAsInvestingActivities')::NUMERIC, 0) +
        COALESCE((cf.standalone_json -&gt;&gt; 'OtherCashPaymentsToAcquireInterestsInJointVenturesClassifiedAsInvestingActivities')::NUMERIC, 0) +
        COALESCE((cf.standalone_json -&gt;&gt; 'CashReceiptsFromFutureContractsForwardContractsOptionContractsAndSwapContractsClassifiedAsInvestingActivities')::NUMERIC, 0) +
        COALESCE((cf.standalone_json -&gt;&gt; 'CashReceiptsFromShareOfProfitsOfPartnershipFirmOrAssociationOfPersonsOrLimitedLiabilityPartnerships')::NUMERIC, 0) +
        COALESCE((cf.standalone_json -&gt;&gt; 'ProceedsFromSalesOfPropertyPlantAndEquipmentClassifiedAsInvestingActivities')::NUMERIC, 0) +
        COALESCE((cf.standalone_json -&gt;&gt; 'PurchaseOfPropertyPlantAndEquipmentClassifiedAsInvestingActivities')::NUMERIC, 0) +
        COALESCE((cf.standalone_json -&gt;&gt; 'ProceedsFromSalesOfInvestmentPropertyClassifiedAsInvestingActivities')::NUMERIC, 0) +
        COALESCE((cf.standalone_json -&gt;&gt; 'PurchaseOfInvestmentPropertyClassifiedAsInvestingActivities')::NUMERIC, 0) +
        COALESCE((cf.standalone_json -&gt;&gt; 'ProceedsFromSalesOfGoodwillClassifiedAsInvestingActivities')::NUMERIC, 0) +
        COALESCE((cf.standalone_json -&gt;&gt; 'PurchaseOfGoodwillClassifiedAsInvestingActivities')::NUMERIC, 0) +
        COALESCE((cf.standalone_json -&gt;&gt; 'ProceedsFromSalesOfIntangibleAssetsUnderDevelopment')::NUMERIC, 0) +
        COALESCE((cf.standalone_json -&gt;&gt; 'PurchaseOfIntangibleAssetsUnderDevelopment')::NUMERIC, 0) +
        COALESCE((cf.standalone_json -&gt;&gt; 'ProceedsFromSalesOfTangibleAssetsClassifiedAsInvestingActivities')::NUMERIC, 0) +
        COALESCE((cf.standalone_json -&gt;&gt; 'PurchaseOfTangibleAssetsClassifiedAsInvestingActivities')::NUMERIC, 0) +
        COALESCE((cf.standalone_json -&gt;&gt; 'ProceedsFromSalesOfIntangibleAssetsClassifiedAsInvestingActivities')::NUMERIC, 0) +
        COALESCE((cf.standalone_json -&gt;&gt; 'PurchaseOfIntangibleAssetsClassifiedAsInvestingActivities')::NUMERIC, 0) +
        COALESCE((cf.standalone_json -&gt;&gt; 'ProceedsFromBiologicalAssetsOtherThanBearerPlantsClassifiedAsInvestingActivities')::NUMERIC, 0) +
        COALESCE((cf.standalone_json -&gt;&gt; 'PurchaseOfBiologicalAssetsOtherThanBearerPlantsClassifiedAsInvestingActivities')::NUMERIC, 0) +
        COALESCE((cf.standalone_json -&gt;&gt; 'ProceedsFromSalesOfOtherLongTermAssetsClassifiedAsInvestingActivities')::NUMERIC, 0) +
        COALESCE((cf.standalone_json -&gt;&gt; 'PurchaseOfOtherLongTermAssetsClassifiedAsInvestingActivities')::NUMERIC, 0) +
        COALESCE((cf.standalone_json -&gt;&gt; 'CashAdvancesAndLoansMadeToOtherPartiesClassifiedAsInvestingActivities')::NUMERIC, 0) +
        COALESCE((cf.standalone_json -&gt;&gt; 'CashReceiptsFromRepaymentOfAdvancesAndLoansMadeToOtherPartiesClassifiedAsInvestingActivities')::NUMERIC, 0) +
        COALESCE((cf.standalone_json -&gt;&gt; 'CashPaymentsForFutureContractsForwardContractsOptionContractsAndSwapContractsClassifiedAsInvestingActivities')::NUMERIC, 0) +
        COALESCE((cf.standalone_json -&gt;&gt; 'CashPaymentForInvestmentInPartnershipFirmOrAssociationOfPersonsOrLimitedLiabilityPartnerships')::NUMERIC, 0) +
        COALESCE((cf.standalone_json -&gt;&gt; 'DividendsReceivedClassifiedAsInvestingActivities')::NUMERIC, 0) +
        COALESCE((cf.standalone_json -&gt;&gt; 'InterestReceivedClassifiedAsInvestingActivities')::NUMERIC, 0) +
        COALESCE((cf.standalone_json -&gt;&gt; 'IncomeTaxesPaidRefundClassifiedAsInvestingActivities')::NUMERIC, 0) +
        COALESCE((cf.standalone_json -&gt;&gt; 'OtherInflowsOutflowsOfCashClassifiedAsInvestingActivities')::NUMERIC, 0) +
        COALESCE((cf.standalone_json -&gt;&gt; 'ProceedsFromGovernmentGrantsClassifiedAsInvestingActivities')::NUMERIC, 0) +
        COALESCE((cf.standalone_json -&gt;&gt; 'ProceedsFromExtraordinaryItemsClassifiedAsInvestingActivities')::NUMERIC, 0) +
        COALESCE((cf.standalone_json -&gt;&gt; 'PaymentForExtraordinaryItemsClassifiedAsInvestingActivities')::NUMERIC, 0)
    ) / 10000000, 2) AS InvestingComponentsSum_crore
FROM public.cash_flows cf
JOIN public.company_profiles cp ON cf.stock_symbol = cp.stock_symbol
WHERE
    ROUND(COALESCE((cf.standalone_json -&gt;&gt; 'CashFlowsFromUsedInInvestingActivities')::NUMERIC, 0) / 10000000, 2) 
    &lt;&gt; ROUND((
        COALESCE((cf.standalone_json -&gt;&gt; 'CashFlowsFromLosingControlOfSubsidiariesOrOtherBusinessesClassifiedAsInvestingActivities')::NUMERIC, 0) +
        COALESCE((cf.standalone_json -&gt;&gt; 'CashFlowsUsedInObtainingControlOfSubsidiariesOrOtherBusinessesClassifiedAsInvestingActivities')::NUMERIC, 0) +
        COALESCE((cf.standalone_json -&gt;&gt; 'OtherCashReceiptsFromSalesOfEquityOrDebtInstrumentsOfOtherEntitiesClassifiedAsInvestingActivities')::NUMERIC, 0) +
        COALESCE((cf.standalone_json -&gt;&gt; 'OtherCashPaymentsToAcquireEquityOrDebtInstrumentsOfOtherEntitiesClassifiedAsInvestingActivities')::NUMERIC, 0) +
        COALESCE((cf.standalone_json -&gt;&gt; 'OtherCashReceiptsFromSalesOfInterestsInJointVenturesClassifiedAsInvestingActivities')::NUMERIC, 0) +
        COALESCE((cf.standalone_json -&gt;&gt; 'OtherCashPaymentsToAcquireInterestsInJointVenturesClassifiedAsInvestingActivities')::NUMERIC, 0) +
        COALESCE((cf.standalone_json -&gt;&gt; 'CashReceiptsFromFutureContractsForwardContractsOptionContractsAndSwapContractsClassifiedAsInvestingActivities')::NUMERIC, 0) +
        COALESCE((cf.standalone_json -&gt;&gt; 'CashReceiptsFromShareOfProfitsOfPartnershipFirmOrAssociationOfPersonsOrLimitedLiabilityPartnerships')::NUMERIC, 0) +
        COALESCE((cf.standalone_json -&gt;&gt; 'ProceedsFromSalesOfPropertyPlantAndEquipmentClassifiedAsInvestingActivities')::NUMERIC, 0) +
        COALESCE((cf.standalone_json -&gt;&gt; 'PurchaseOfPropertyPlantAndEquipmentClassifiedAsInvestingActivities')::NUMERIC, 0) +
        COALESCE((cf.standalone_json -&gt;&gt; 'ProceedsFromSalesOfInvestmentPropertyClassifiedAsInvestingActivities')::NUMERIC, 0) +
        COALESCE((cf.standalone_json -&gt;&gt; 'PurchaseOfInvestmentPropertyClassifiedAsInvestingActivities')::NUMERIC, 0) +
        COALESCE((cf.standalone_json -&gt;&gt; 'ProceedsFromSalesOfGoodwillClassifiedAsInvestingActivities')::NUMERIC, 0) +
        COALESCE((cf.standalone_json -&gt;&gt; 'PurchaseOfGoodwillClassifiedAsInvestingActivities')::NUMERIC, 0) +
        COALESCE((cf.standalone_json -&gt;&gt; 'ProceedsFromSalesOfIntangibleAssetsUnderDevelopment')::NUMERIC, 0) +
        COALESCE((cf.standalone_json -&gt;&gt; 'PurchaseOfIntangibleAssetsUnderDevelopment')::NUMERIC, 0) +
        COALESCE((cf.standalone_json -&gt;&gt; 'ProceedsFromSalesOfTangibleAssetsClassifiedAsInvestingActivities')::NUMERIC, 0) +
        COALESCE((cf.standalone_json -&gt;&gt; 'PurchaseOfTangibleAssetsClassifiedAsInvestingActivities')::NUMERIC, 0) +
        COALESCE((cf.standalone_json -&gt;&gt; 'ProceedsFromSalesOfIntangibleAssetsClassifiedAsInvestingActivities')::NUMERIC, 0) +
        COALESCE((cf.standalone_json -&gt;&gt; 'PurchaseOfIntangibleAssetsClassifiedAsInvestingActivities')::NUMERIC, 0) +
        COALESCE((cf.standalone_json -&gt;&gt; 'ProceedsFromBiologicalAssetsOtherThanBearerPlantsClassifiedAsInvestingActivities')::NUMERIC, 0) +
        COALESCE((cf.standalone_json -&gt;&gt; 'PurchaseOfBiologicalAssetsOtherThanBearerPlantsClassifiedAsInvestingActivities')::NUMERIC, 0) +
        COALESCE((cf.standalone_json -&gt;&gt; 'ProceedsFromSalesOfOtherLongTermAssetsClassifiedAsInvestingActivities')::NUMERIC, 0) +
        COALESCE((cf.standalone_json -&gt;&gt; 'PurchaseOfOtherLongTermAssetsClassifiedAsInvestingActivities')::NUMERIC, 0) +
        COALESCE((cf.standalone_json -&gt;&gt; 'CashAdvancesAndLoansMadeToOtherPartiesClassifiedAsInvestingActivities')::NUMERIC, 0) +
        COALESCE((cf.standalone_json -&gt;&gt; 'CashReceiptsFromRepaymentOfAdvancesAndLoansMadeToOtherPartiesClassifiedAsInvestingActivities')::NUMERIC, 0) +
        COALESCE((cf.standalone_json -&gt;&gt; 'CashPaymentsForFutureContractsForwardContractsOptionContractsAndSwapContractsClassifiedAsInvestingActivities')::NUMERIC, 0) +
        COALESCE((cf.standalone_json -&gt;&gt; 'CashPaymentForInvestmentInPartnershipFirmOrAssociationOfPersonsOrLimitedLiabilityPartnerships')::NUMERIC, 0) +
        COALESCE((cf.standalone_json -&gt;&gt; 'DividendsReceivedClassifiedAsInvestingActivities')::NUMERIC, 0) +
        COALESCE((cf.standalone_json -&gt;&gt; 'InterestReceivedClassifiedAsInvestingActivities')::NUMERIC, 0) +
        COALESCE((cf.standalone_json -&gt;&gt; 'IncomeTaxesPaidRefundClassifiedAsInvestingActivities')::NUMERIC, 0) +
        COALESCE((cf.standalone_json -&gt;&gt; 'OtherInflowsOutflowsOfCashClassifiedAsInvestingActivities')::NUMERIC, 0) +
        COALESCE((cf.standalone_json -&gt;&gt; 'ProceedsFromGovernmentGrantsClassifiedAsInvestingActivities')::NUMERIC, 0) +
        COALESCE((cf.standalone_json -&gt;&gt; 'ProceedsFromExtraordinaryItemsClassifiedAsInvestingActivities')::NUMERIC, 0) +
        COALESCE((cf.standalone_json -&gt;&gt; 'PaymentForExtraordinaryItemsClassifiedAsInvestingActivities')::NUMERIC, 0)
    ) / 10000000, 2)
ORDER BY cp.market_cap DESC;</t>
  </si>
  <si>
    <t>SELECT
    cf.stock_symbol,
    cf.to_date, cf.date_header, 
    cf.period,
    ROUND(COALESCE((cf.standalone_json -&gt;&gt; 'CashFlowsFromUsedInFinancingActivities')::NUMERIC, 0) / 10000000, 2) AS FinancingCashFlow_cr,
    ROUND((
        COALESCE((cf.standalone_json -&gt;&gt; 'ProceedsFromChangesInOwnershipInterestsInSubsidiaries')::NUMERIC, 0) +
        COALESCE((cf.standalone_json -&gt;&gt; 'PaymentsFromChangesInOwnershipInterestsInSubsidiaries')::NUMERIC, 0) +
        COALESCE((cf.standalone_json -&gt;&gt; 'ProceedsFromIssuingShares')::NUMERIC, 0) +
        COALESCE((cf.standalone_json -&gt;&gt; 'ProceedsFromChangesInOwnershipInterestsInSubsidiariesThatDoNotResultInLossOfControl')::NUMERIC, 0) +
        COALESCE((cf.standalone_json -&gt;&gt; 'PaymentsFromChangesInOwnershipInterestsInSubsidiariesThatDoNotResultInLossOfControl')::NUMERIC, 0) +
        COALESCE((cf.standalone_json -&gt;&gt; 'ProceedsFromIssuingSharesClassifiedAsFinancingActivities')::NUMERIC, 0) +
        COALESCE((cf.standalone_json -&gt;&gt; 'ProceedsFromIssuingOtherEquityInstruments')::NUMERIC, 0) +
        COALESCE((cf.standalone_json -&gt;&gt; 'PaymentsToAcquireOrRedeemEntitysShares')::NUMERIC, 0) +
        COALESCE((cf.standalone_json -&gt;&gt; 'PaymentsOfOtherEquityInstruments')::NUMERIC, 0) +
        COALESCE((cf.standalone_json -&gt;&gt; 'ProceedsFromExerciseOfStockOptions')::NUMERIC, 0) +
        COALESCE((cf.standalone_json -&gt;&gt; 'ProceedsFromIssuingDebenturesNotesBondsEtc')::NUMERIC, 0) +
        COALESCE((cf.standalone_json -&gt;&gt; 'ProceedsFromBorrowingsClassifiedAsFinancingActivities')::NUMERIC, 0) +
        COALESCE((cf.standalone_json -&gt;&gt; 'RepaymentsOfBorrowingsClassifiedAsFinancingActivities')::NUMERIC, 0) +
        COALESCE((cf.standalone_json -&gt;&gt; 'PaymentsOfFinanceLeaseLiabilitiesClassifiedAsFinancingActivities')::NUMERIC, 0) +
        COALESCE((cf.standalone_json -&gt;&gt; 'PaymentsOfLeaseLiabilitiesClassifiedAsFinancingActivities')::NUMERIC, 0) +
        COALESCE((cf.standalone_json -&gt;&gt; 'DividendsPaidClassifiedAsFinancingActivities')::NUMERIC, 0) +
        COALESCE((cf.standalone_json -&gt;&gt; 'InterestPaidClassifiedAsFinancingActivities')::NUMERIC, 0) +
        COALESCE((cf.standalone_json -&gt;&gt; 'IncomeTaxesPaidRefundClassifiedAsFinancingActivities')::NUMERIC, 0) +
        COALESCE((cf.standalone_json -&gt;&gt; 'OtherInflowsOutflowsOfCashClassifiedAsFinancingActivities')::NUMERIC, 0) +
        COALESCE((cf.standalone_json -&gt;&gt; 'ProceedsFromExtraordinaryItemsClassifiedAsFinancingActivities')::NUMERIC, 0) +
        COALESCE((cf.standalone_json -&gt;&gt; 'PaymentForExtraordinaryItemsClassifiedAsFinancingActivities')::NUMERIC, 0)
    ) / 10000000, 2) AS FinancingComponentsSum_cr
FROM public.cash_flows cf
WHERE
    ROUND(COALESCE((cf.standalone_json -&gt;&gt; 'CashFlowsFromUsedInFinancingActivities')::NUMERIC, 0) / 10000000, 2) &lt;&gt;
    ROUND((
        COALESCE((cf.standalone_json -&gt;&gt; 'ProceedsFromChangesInOwnershipInterestsInSubsidiaries')::NUMERIC, 0) +
        COALESCE((cf.standalone_json -&gt;&gt; 'PaymentsFromChangesInOwnershipInterestsInSubsidiaries')::NUMERIC, 0) +
        COALESCE((cf.standalone_json -&gt;&gt; 'ProceedsFromIssuingShares')::NUMERIC, 0) +
        COALESCE((cf.standalone_json -&gt;&gt; 'ProceedsFromChangesInOwnershipInterestsInSubsidiariesThatDoNotResultInLossOfControl')::NUMERIC, 0) +
        COALESCE((cf.standalone_json -&gt;&gt; 'PaymentsFromChangesInOwnershipInterestsInSubsidiariesThatDoNotResultInLossOfControl')::NUMERIC, 0) +
        COALESCE((cf.standalone_json -&gt;&gt; 'ProceedsFromIssuingSharesClassifiedAsFinancingActivities')::NUMERIC, 0) +
        COALESCE((cf.standalone_json -&gt;&gt; 'ProceedsFromIssuingOtherEquityInstruments')::NUMERIC, 0) +
        COALESCE((cf.standalone_json -&gt;&gt; 'PaymentsToAcquireOrRedeemEntitysShares')::NUMERIC, 0) +
        COALESCE((cf.standalone_json -&gt;&gt; 'PaymentsOfOtherEquityInstruments')::NUMERIC, 0) +
        COALESCE((cf.standalone_json -&gt;&gt; 'ProceedsFromExerciseOfStockOptions')::NUMERIC, 0) +
        COALESCE((cf.standalone_json -&gt;&gt; 'ProceedsFromIssuingDebenturesNotesBondsEtc')::NUMERIC, 0) +
        COALESCE((cf.standalone_json -&gt;&gt; 'ProceedsFromBorrowingsClassifiedAsFinancingActivities')::NUMERIC, 0) +
        COALESCE((cf.standalone_json -&gt;&gt; 'RepaymentsOfBorrowingsClassifiedAsFinancingActivities')::NUMERIC, 0) +
        COALESCE((cf.standalone_json -&gt;&gt; 'PaymentsOfFinanceLeaseLiabilitiesClassifiedAsFinancingActivities')::NUMERIC, 0) +
        COALESCE((cf.standalone_json -&gt;&gt; 'PaymentsOfLeaseLiabilitiesClassifiedAsFinancingActivities')::NUMERIC, 0) +
        COALESCE((cf.standalone_json -&gt;&gt; 'DividendsPaidClassifiedAsFinancingActivities')::NUMERIC, 0) +
        COALESCE((cf.standalone_json -&gt;&gt; 'InterestPaidClassifiedAsFinancingActivities')::NUMERIC, 0) +
        COALESCE((cf.standalone_json -&gt;&gt; 'IncomeTaxesPaidRefundClassifiedAsFinancingActivities')::NUMERIC, 0) +
        COALESCE((cf.standalone_json -&gt;&gt; 'OtherInflowsOutflowsOfCashClassifiedAsFinancingActivities')::NUMERIC, 0) +
        COALESCE((cf.standalone_json -&gt;&gt; 'ProceedsFromExtraordinaryItemsClassifiedAsFinancingActivities')::NUMERIC, 0) +
        COALESCE((cf.standalone_json -&gt;&gt; 'PaymentForExtraordinaryItemsClassifiedAsFinancingActivities')::NUMERIC, 0)
    ) / 10000000, 2);</t>
  </si>
  <si>
    <t>SELECT
    cf.stock_symbol,
    cf.to_date, cf.date_header, 
    cf.period,
    ROUND(COALESCE((cf.consolidated_json -&gt;&gt; 'CashFlowsFromUsedInFinancingActivities')::NUMERIC, 0) / 10000000, 2) AS FinancingCashFlow_cr,
    ROUND((
        COALESCE((cf.consolidated_json -&gt;&gt; 'ProceedsFromChangesInOwnershipInterestsInSubsidiaries')::NUMERIC, 0) +
        COALESCE((cf.consolidated_json -&gt;&gt; 'PaymentsFromChangesInOwnershipInterestsInSubsidiaries')::NUMERIC, 0) +
        COALESCE((cf.consolidated_json -&gt;&gt; 'ProceedsFromIssuingShares')::NUMERIC, 0) +
        COALESCE((cf.consolidated_json -&gt;&gt; 'ProceedsFromChangesInOwnershipInterestsInSubsidiariesThatDoNotResultInLossOfControl')::NUMERIC, 0) +
        COALESCE((cf.consolidated_json -&gt;&gt; 'PaymentsFromChangesInOwnershipInterestsInSubsidiariesThatDoNotResultInLossOfControl')::NUMERIC, 0) +
        COALESCE((cf.consolidated_json -&gt;&gt; 'ProceedsFromIssuingSharesClassifiedAsFinancingActivities')::NUMERIC, 0) +
        COALESCE((cf.consolidated_json -&gt;&gt; 'ProceedsFromIssuingOtherEquityInstruments')::NUMERIC, 0) +
        COALESCE((cf.consolidated_json -&gt;&gt; 'PaymentsToAcquireOrRedeemEntitysShares')::NUMERIC, 0) +
        COALESCE((cf.consolidated_json -&gt;&gt; 'PaymentsOfOtherEquityInstruments')::NUMERIC, 0) +
        COALESCE((cf.consolidated_json -&gt;&gt; 'ProceedsFromExerciseOfStockOptions')::NUMERIC, 0) +
        COALESCE((cf.consolidated_json -&gt;&gt; 'ProceedsFromIssuingDebenturesNotesBondsEtc')::NUMERIC, 0) +
        COALESCE((cf.consolidated_json -&gt;&gt; 'ProceedsFromBorrowingsClassifiedAsFinancingActivities')::NUMERIC, 0) +
        COALESCE((cf.consolidated_json -&gt;&gt; 'RepaymentsOfBorrowingsClassifiedAsFinancingActivities')::NUMERIC, 0) +
        COALESCE((cf.consolidated_json -&gt;&gt; 'PaymentsOfFinanceLeaseLiabilitiesClassifiedAsFinancingActivities')::NUMERIC, 0) +
        COALESCE((cf.consolidated_json -&gt;&gt; 'PaymentsOfLeaseLiabilitiesClassifiedAsFinancingActivities')::NUMERIC, 0) +
        COALESCE((cf.consolidated_json -&gt;&gt; 'DividendsPaidClassifiedAsFinancingActivities')::NUMERIC, 0) +
        COALESCE((cf.consolidated_json -&gt;&gt; 'InterestPaidClassifiedAsFinancingActivities')::NUMERIC, 0) +
        COALESCE((cf.consolidated_json -&gt;&gt; 'IncomeTaxesPaidRefundClassifiedAsFinancingActivities')::NUMERIC, 0) +
        COALESCE((cf.consolidated_json -&gt;&gt; 'OtherInflowsOutflowsOfCashClassifiedAsFinancingActivities')::NUMERIC, 0) +
        COALESCE((cf.consolidated_json -&gt;&gt; 'ProceedsFromExtraordinaryItemsClassifiedAsFinancingActivities')::NUMERIC, 0) +
        COALESCE((cf.consolidated_json -&gt;&gt; 'PaymentForExtraordinaryItemsClassifiedAsFinancingActivities')::NUMERIC, 0)
    ) / 10000000, 2) AS FinancingComponentsSum_cr
FROM public.cash_flows cf
WHERE
    ROUND(COALESCE((cf.consolidated_json -&gt;&gt; 'CashFlowsFromUsedInFinancingActivities')::NUMERIC, 0) / 10000000, 2) &lt;&gt;
    ROUND((
        COALESCE((cf.consolidated_json -&gt;&gt; 'ProceedsFromChangesInOwnershipInterestsInSubsidiaries')::NUMERIC, 0) +
        COALESCE((cf.consolidated_json -&gt;&gt; 'PaymentsFromChangesInOwnershipInterestsInSubsidiaries')::NUMERIC, 0) +
        COALESCE((cf.consolidated_json -&gt;&gt; 'ProceedsFromIssuingShares')::NUMERIC, 0) +
        COALESCE((cf.consolidated_json -&gt;&gt; 'ProceedsFromChangesInOwnershipInterestsInSubsidiariesThatDoNotResultInLossOfControl')::NUMERIC, 0) +
        COALESCE((cf.consolidated_json -&gt;&gt; 'PaymentsFromChangesInOwnershipInterestsInSubsidiariesThatDoNotResultInLossOfControl')::NUMERIC, 0) +
        COALESCE((cf.consolidated_json -&gt;&gt; 'ProceedsFromIssuingSharesClassifiedAsFinancingActivities')::NUMERIC, 0) +
        COALESCE((cf.consolidated_json -&gt;&gt; 'ProceedsFromIssuingOtherEquityInstruments')::NUMERIC, 0) +
        COALESCE((cf.consolidated_json -&gt;&gt; 'PaymentsToAcquireOrRedeemEntitysShares')::NUMERIC, 0) +
        COALESCE((cf.consolidated_json -&gt;&gt; 'PaymentsOfOtherEquityInstruments')::NUMERIC, 0) +
        COALESCE((cf.consolidated_json -&gt;&gt; 'ProceedsFromExerciseOfStockOptions')::NUMERIC, 0) +
        COALESCE((cf.consolidated_json -&gt;&gt; 'ProceedsFromIssuingDebenturesNotesBondsEtc')::NUMERIC, 0) +
        COALESCE((cf.consolidated_json -&gt;&gt; 'ProceedsFromBorrowingsClassifiedAsFinancingActivities')::NUMERIC, 0) +
        COALESCE((cf.consolidated_json -&gt;&gt; 'RepaymentsOfBorrowingsClassifiedAsFinancingActivities')::NUMERIC, 0) +
        COALESCE((cf.consolidated_json -&gt;&gt; 'PaymentsOfFinanceLeaseLiabilitiesClassifiedAsFinancingActivities')::NUMERIC, 0) +
        COALESCE((cf.consolidated_json -&gt;&gt; 'PaymentsOfLeaseLiabilitiesClassifiedAsFinancingActivities')::NUMERIC, 0) +
        COALESCE((cf.consolidated_json -&gt;&gt; 'DividendsPaidClassifiedAsFinancingActivities')::NUMERIC, 0) +
        COALESCE((cf.consolidated_json -&gt;&gt; 'InterestPaidClassifiedAsFinancingActivities')::NUMERIC, 0) +
        COALESCE((cf.consolidated_json -&gt;&gt; 'IncomeTaxesPaidRefundClassifiedAsFinancingActivities')::NUMERIC, 0) +
        COALESCE((cf.consolidated_json -&gt;&gt; 'OtherInflowsOutflowsOfCashClassifiedAsFinancingActivities')::NUMERIC, 0) +
        COALESCE((cf.consolidated_json -&gt;&gt; 'ProceedsFromExtraordinaryItemsClassifiedAsFinancingActivities')::NUMERIC, 0) +
        COALESCE((cf.consolidated_json -&gt;&gt; 'PaymentForExtraordinaryItemsClassifiedAsFinancingActivities')::NUMERIC, 0)
    ) / 10000000, 2);</t>
  </si>
  <si>
    <t xml:space="preserve">
SELECT
    cf.period,
    cf.stock_symbol,
    cf.date_header,
    cp.market_cap,
    cf.standalone_json -&gt;&gt; 'CashFlowsFromUsedInOperatingActivities' AS CashFlowsFromUsedInOperations,
    (
        COALESCE((cf.standalone_json -&gt;&gt; 'ProfitBeforeTax')::numeric, 0) +
        COALESCE((cf.standalone_json -&gt;&gt; 'ProfitBeforeExtraordinaryItemsAndTax')::numeric, 0) +
        COALESCE((cf.standalone_json -&gt;&gt; 'AdjustmentsForDecreaseIncreaseInInventories')::numeric, 0) +
        COALESCE((cf.standalone_json -&gt;&gt; 'AdjustmentsForDecreaseIncreaseInTradeReceivablesCurrent')::numeric, 0) +
        COALESCE((cf.standalone_json -&gt;&gt; 'AdjustmentsForDecreaseIncreaseInTradeReceivables')::numeric, 0) +
        COALESCE((cf.standalone_json -&gt;&gt; 'AdjustmentsForDecreaseIncreaseInTradeReceivablesNoncurrent')::numeric, 0) +
        COALESCE((cf.standalone_json -&gt;&gt; 'AdjustmentsForDecreaseIncreaseInOtherCurrentAssets')::numeric, 0) +
        COALESCE((cf.standalone_json -&gt;&gt; 'AdjustmentsForDecreaseIncreaseInOtherNoncurrentAssets')::numeric, 0) +
        COALESCE((cf.standalone_json -&gt;&gt; 'AdjustmentsForOtherFinancialAssetsNoncurrent')::numeric, 0) +
        COALESCE((cf.standalone_json -&gt;&gt; 'AdjustmentsForOtherFinancialAssetsCurrent')::numeric, 0) +
        COALESCE((cf.standalone_json -&gt;&gt; 'AdjustmentsForIncreaseDecreaseInTradePayablesCurrent')::numeric, 0) +
        COALESCE((cf.standalone_json -&gt;&gt; 'AdjustmentsForIncreaseDecreaseInTradePayables')::numeric, 0) +
        COALESCE((cf.standalone_json -&gt;&gt; 'AdjustmentsForIncreaseDecreaseInTradePayablesNoncurrent')::numeric, 0) +
        COALESCE((cf.standalone_json -&gt;&gt; 'AdjustmentsForIncreaseDecreaseInOtherCurrentLiabilities')::numeric, 0) +
        COALESCE((cf.standalone_json -&gt;&gt; 'AdjustmentsForIncreaseDecreaseInOtherNoncurrentLiabilities')::numeric, 0) +
        COALESCE((cf.standalone_json -&gt;&gt; 'AdjustmentsForOtherBankBalances')::numeric, 0) +
        COALESCE((cf.standalone_json -&gt;&gt; 'AdjustmentsForProvisionsCurrent')::numeric, 0) +
        COALESCE((cf.standalone_json -&gt;&gt; 'AdjustmentsForProvisionsNoncurrent')::numeric, 0) +
        COALESCE((cf.standalone_json -&gt;&gt; 'AdjustmentsForProvisions')::numeric, 0) +
        COALESCE((cf.standalone_json -&gt;&gt; 'AdjustmentsForOtherFinancialLiabilitiesCurrent')::numeric, 0) +
        COALESCE((cf.standalone_json -&gt;&gt; 'AdjustmentsForOtherFinancialLiabilitiesNoncurrent')::numeric, 0) +
        COALESCE((cf.standalone_json -&gt;&gt; 'AdjustmentsForUnrealisedForeignExchangeLossesGains')::numeric, 0) +
        COALESCE((cf.standalone_json -&gt;&gt; 'AdjustmentsForDepreciationAndAmortisationExpense')::numeric, 0) +
        COALESCE((cf.standalone_json -&gt;&gt; 'AdjustmentsForImpairmentLossReversalOfImpairmentLossRecognisedInProfitOrLoss')::numeric, 0) +
        COALESCE((cf.standalone_json -&gt;&gt; 'AdjustmentsForFinanceCosts')::numeric, 0) +
        COALESCE((cf.standalone_json -&gt;&gt; 'AdjustmentsForDividendIncome')::numeric, 0) +
        COALESCE((cf.standalone_json -&gt;&gt; 'AdjustmentsForInterestIncome')::numeric, 0) +
        COALESCE((cf.standalone_json -&gt;&gt; 'AdjustmentsForSharebasedPayments')::numeric, 0) +
        COALESCE((cf.standalone_json -&gt;&gt; 'AdjustmentsForFairValueGainsLosses')::numeric, 0) +
        COALESCE((cf.standalone_json -&gt;&gt; 'AdjustmentsForUndistributedProfitsOfAssociates')::numeric, 0) +
        COALESCE((cf.standalone_json -&gt;&gt; 'OtherAdjustmentsForWhichCashEffectsAreInvestingOrFinancingCashFlow')::numeric, 0) +
        COALESCE((cf.standalone_json -&gt;&gt; 'OtherAdjustmentsToReconcileProfitLoss')::numeric, 0) +
        COALESCE((cf.standalone_json -&gt;&gt; 'OtherAdjustmentsForNoncashItems')::numeric, 0) +
        COALESCE((cf.standalone_json -&gt;&gt; 'ShareOfProfitAndLossFromPartnershipFirmOrAssociationOfPersonsOrLimitedLiabilityPartnerships')::numeric, 0) +
        COALESCE((cf.standalone_json -&gt;&gt; 'ReceiptsFromSalesOfGoodsAndRenderingOfServices')::numeric, 0) +
        COALESCE((cf.standalone_json -&gt;&gt; 'ReceiptsFromRoyaltiesFeesCommissionsAndOtherRevenue')::numeric, 0) +
        COALESCE((cf.standalone_json -&gt;&gt; 'ReceiptsFromContractsHeldForDealingOrTradingPurpose')::numeric, 0) +
        COALESCE((cf.standalone_json -&gt;&gt; 'ReceiptsFromPremiumsAndClaimsAnnuitiesAndOtherPolicyBenefits')::numeric, 0) +
        COALESCE((cf.standalone_json -&gt;&gt; 'ReceiptsFromRentsAndSubsequentSalesOfAssetsHeldForRentalToOthersAndSubsequentlyHeldForSale')::numeric, 0) +
        COALESCE((cf.standalone_json -&gt;&gt; 'OtherCashReceiptsFromOperatingActivities')::numeric, 0) +
        COALESCE((cf.standalone_json -&gt;&gt; 'PaymentsToSuppliersForGoodsAndServices')::numeric, 0) +
        COALESCE((cf.standalone_json -&gt;&gt; 'PaymentsFromContractsHeldForDealingOrTradingPurpose')::numeric, 0) +
        COALESCE((cf.standalone_json -&gt;&gt; 'PaymentsToAndOnBehalfOfEmployees')::numeric, 0) +
        COALESCE((cf.standalone_json -&gt;&gt; 'PaymentsForPremiumsAndClaimsAnnuitiesAndOtherPolicyBenefits')::numeric, 0) +
        COALESCE((cf.standalone_json -&gt;&gt; 'PaymentsToManufactureOrAcquireAssetsHeldForRentalToOthersAndSubsequentlyHeldForSale')::numeric, 0) +
        COALESCE((cf.standalone_json -&gt;&gt; 'OtherCashPaymentsFromOperatingActivities')::numeric, 0)+		  
		COALESCE((cf.standalone_json -&gt;&gt; 'DividendsReceivedClassifiedAsOperatingActivities')::numeric, 0) +
        COALESCE((cf.standalone_json -&gt;&gt; 'InterestPaidClassifiedAsOperatingActivities')::numeric, 0) +
        COALESCE((cf.standalone_json -&gt;&gt; 'InterestReceivedClassifiedAsOperatingActivities')::numeric, 0) +
        COALESCE((cf.standalone_json -&gt;&gt; 'IncomeTaxesPaidRefundClassifiedAsOperatingActivities')::numeric, 0) +
        COALESCE((cf.standalone_json -&gt;&gt; 'OtherInflowsOutflowsOfCashClassifiedAsOperatingActivities')::numeric, 0) +
        COALESCE((cf.standalone_json -&gt;&gt; 'ProceedsFromExtraordinaryItemsClassifiedAsOperatingActivities')::numeric, 0) +
        COALESCE((cf.standalone_json -&gt;&gt; 'PaymentForExtraordinaryItemsClassifiedAsOperatingActivities')::numeric, 0)
    ) AS ComponentsSum
FROM cash_flows cf
JOIN public.company_profiles cp 
  ON cp.stock_symbol = cf.stock_symbol
WHERE cf.period = 'Annual'
  AND ((cf.standalone_json -&gt;&gt; 'CashFlowsFromUsedInOperatingActivities')::numeric -
      (
        COALESCE((cf.standalone_json -&gt;&gt; 'ProfitBeforeTax')::numeric, 0) +
        COALESCE((cf.standalone_json -&gt;&gt; 'ProfitBeforeExtraordinaryItemsAndTax')::numeric, 0) +
        COALESCE((cf.standalone_json -&gt;&gt; 'AdjustmentsForDecreaseIncreaseInInventories')::numeric, 0) +
        COALESCE((cf.standalone_json -&gt;&gt; 'AdjustmentsForDecreaseIncreaseInTradeReceivablesCurrent')::numeric, 0) +
        COALESCE((cf.standalone_json -&gt;&gt; 'AdjustmentsForDecreaseIncreaseInTradeReceivables')::numeric, 0) +
        COALESCE((cf.standalone_json -&gt;&gt; 'AdjustmentsForDecreaseIncreaseInTradeReceivablesNoncurrent')::numeric, 0) +
        COALESCE((cf.standalone_json -&gt;&gt; 'AdjustmentsForDecreaseIncreaseInOtherCurrentAssets')::numeric, 0) +
        COALESCE((cf.standalone_json -&gt;&gt; 'AdjustmentsForDecreaseIncreaseInOtherNoncurrentAssets')::numeric, 0) +
        COALESCE((cf.standalone_json -&gt;&gt; 'AdjustmentsForOtherFinancialAssetsNoncurrent')::numeric, 0) +
        COALESCE((cf.standalone_json -&gt;&gt; 'AdjustmentsForOtherFinancialAssetsCurrent')::numeric, 0) +
        COALESCE((cf.standalone_json -&gt;&gt; 'AdjustmentsForIncreaseDecreaseInTradePayablesCurrent')::numeric, 0) +
        COALESCE((cf.standalone_json -&gt;&gt; 'AdjustmentsForIncreaseDecreaseInTradePayables')::numeric, 0) +
        COALESCE((cf.standalone_json -&gt;&gt; 'AdjustmentsForIncreaseDecreaseInTradePayablesNoncurrent')::numeric, 0) +
        COALESCE((cf.standalone_json -&gt;&gt; 'AdjustmentsForIncreaseDecreaseInOtherCurrentLiabilities')::numeric, 0) +
        COALESCE((cf.standalone_json -&gt;&gt; 'AdjustmentsForIncreaseDecreaseInOtherNoncurrentLiabilities')::numeric, 0) +
        COALESCE((cf.standalone_json -&gt;&gt; 'AdjustmentsForOtherBankBalances')::numeric, 0) +
        COALESCE((cf.standalone_json -&gt;&gt; 'AdjustmentsForProvisionsCurrent')::numeric, 0) +
        COALESCE((cf.standalone_json -&gt;&gt; 'AdjustmentsForProvisionsNoncurrent')::numeric, 0) +
        COALESCE((cf.standalone_json -&gt;&gt; 'AdjustmentsForProvisions')::numeric, 0) +
        COALESCE((cf.standalone_json -&gt;&gt; 'AdjustmentsForOtherFinancialLiabilitiesCurrent')::numeric, 0) +
        COALESCE((cf.standalone_json -&gt;&gt; 'AdjustmentsForOtherFinancialLiabilitiesNoncurrent')::numeric, 0) +
        COALESCE((cf.standalone_json -&gt;&gt; 'AdjustmentsForUnrealisedForeignExchangeLossesGains')::numeric, 0) +
        COALESCE((cf.standalone_json -&gt;&gt; 'AdjustmentsForDepreciationAndAmortisationExpense')::numeric, 0) +
        COALESCE((cf.standalone_json -&gt;&gt; 'AdjustmentsForImpairmentLossReversalOfImpairmentLossRecognisedInProfitOrLoss')::numeric, 0) +
        COALESCE((cf.standalone_json -&gt;&gt; 'AdjustmentsForFinanceCosts')::numeric, 0) +
        COALESCE((cf.standalone_json -&gt;&gt; 'AdjustmentsForDividendIncome')::numeric, 0) +
        COALESCE((cf.standalone_json -&gt;&gt; 'AdjustmentsForInterestIncome')::numeric, 0) +
        COALESCE((cf.standalone_json -&gt;&gt; 'AdjustmentsForSharebasedPayments')::numeric, 0) +
        COALESCE((cf.standalone_json -&gt;&gt; 'AdjustmentsForFairValueGainsLosses')::numeric, 0) +
        COALESCE((cf.standalone_json -&gt;&gt; 'AdjustmentsForUndistributedProfitsOfAssociates')::numeric, 0) +
        COALESCE((cf.standalone_json -&gt;&gt; 'OtherAdjustmentsForWhichCashEffectsAreInvestingOrFinancingCashFlow')::numeric, 0) +
        COALESCE((cf.standalone_json -&gt;&gt; 'OtherAdjustmentsToReconcileProfitLoss')::numeric, 0) +
        COALESCE((cf.standalone_json -&gt;&gt; 'OtherAdjustmentsForNoncashItems')::numeric, 0) +
        COALESCE((cf.standalone_json -&gt;&gt; 'ShareOfProfitAndLossFromPartnershipFirmOrAssociationOfPersonsOrLimitedLiabilityPartnerships')::numeric, 0) +
        COALESCE((cf.standalone_json -&gt;&gt; 'ReceiptsFromSalesOfGoodsAndRenderingOfServices')::numeric, 0) +
        COALESCE((cf.standalone_json -&gt;&gt; 'ReceiptsFromRoyaltiesFeesCommissionsAndOtherRevenue')::numeric, 0) +
        COALESCE((cf.standalone_json -&gt;&gt; 'ReceiptsFromContractsHeldForDealingOrTradingPurpose')::numeric, 0) +
        COALESCE((cf.standalone_json -&gt;&gt; 'ReceiptsFromPremiumsAndClaimsAnnuitiesAndOtherPolicyBenefits')::numeric, 0) +
        COALESCE((cf.standalone_json -&gt;&gt; 'ReceiptsFromRentsAndSubsequentSalesOfAssetsHeldForRentalToOthersAndSubsequentlyHeldForSale')::numeric, 0) +
        COALESCE((cf.standalone_json -&gt;&gt; 'OtherCashReceiptsFromOperatingActivities')::numeric, 0) +
        COALESCE((cf.standalone_json -&gt;&gt; 'PaymentsToSuppliersForGoodsAndServices')::numeric, 0) +
        COALESCE((cf.standalone_json -&gt;&gt; 'PaymentsFromContractsHeldForDealingOrTradingPurpose')::numeric, 0) +
        COALESCE((cf.standalone_json -&gt;&gt; 'PaymentsToAndOnBehalfOfEmployees')::numeric, 0) +
        COALESCE((cf.standalone_json -&gt;&gt; 'PaymentsForPremiumsAndClaimsAnnuitiesAndOtherPolicyBenefits')::numeric, 0) +
        COALESCE((cf.standalone_json -&gt;&gt; 'PaymentsToManufactureOrAcquireAssetsHeldForRentalToOthersAndSubsequentlyHeldForSale')::numeric, 0) +
        COALESCE((cf.standalone_json -&gt;&gt; 'OtherCashPaymentsFromOperatingActivities')::numeric, 0)+		  
		COALESCE((cf.standalone_json -&gt;&gt; 'DividendsReceivedClassifiedAsOperatingActivities')::numeric, 0) +
        COALESCE((cf.standalone_json -&gt;&gt; 'InterestPaidClassifiedAsOperatingActivities')::numeric, 0) +
        COALESCE((cf.standalone_json -&gt;&gt; 'InterestReceivedClassifiedAsOperatingActivities')::numeric, 0) +
        COALESCE((cf.standalone_json -&gt;&gt; 'IncomeTaxesPaidRefundClassifiedAsOperatingActivities')::numeric, 0) +
        COALESCE((cf.standalone_json -&gt;&gt; 'OtherInflowsOutflowsOfCashClassifiedAsOperatingActivities')::numeric, 0) +
        COALESCE((cf.standalone_json -&gt;&gt; 'ProceedsFromExtraordinaryItemsClassifiedAsOperatingActivities')::numeric, 0) +
        COALESCE((cf.standalone_json -&gt;&gt; 'PaymentForExtraordinaryItemsClassifiedAsOperatingActivities')::numeric, 0)
      )) &gt; 100000000 AND cf.date_header &lt;&gt; 'YTD' and cp.industry &lt;&gt; 'Banks' order by cp.market_cap desc</t>
  </si>
  <si>
    <t xml:space="preserve">
SELECT
    cf.period,
    cf.stock_symbol,
    cf.date_header,
    cp.market_cap,
    cf.consolidated_json -&gt;&gt; 'CashFlowsFromUsedInOperatingActivities' AS CashFlowsFromUsedInOperations,
    (
        COALESCE((cf.consolidated_json -&gt;&gt; 'ProfitBeforeTax')::numeric, 0) +
        COALESCE((cf.consolidated_json -&gt;&gt; 'ProfitBeforeExtraordinaryItemsAndTax')::numeric, 0) +
        COALESCE((cf.consolidated_json -&gt;&gt; 'AdjustmentsForDecreaseIncreaseInInventories')::numeric, 0) +
        COALESCE((cf.consolidated_json -&gt;&gt; 'AdjustmentsForDecreaseIncreaseInTradeReceivablesCurrent')::numeric, 0) +
        COALESCE((cf.consolidated_json -&gt;&gt; 'AdjustmentsForDecreaseIncreaseInTradeReceivables')::numeric, 0) +
        COALESCE((cf.consolidated_json -&gt;&gt; 'AdjustmentsForDecreaseIncreaseInTradeReceivablesNoncurrent')::numeric, 0) +
        COALESCE((cf.consolidated_json -&gt;&gt; 'AdjustmentsForDecreaseIncreaseInOtherCurrentAssets')::numeric, 0) +
        COALESCE((cf.consolidated_json -&gt;&gt; 'AdjustmentsForDecreaseIncreaseInOtherNoncurrentAssets')::numeric, 0) +
        COALESCE((cf.consolidated_json -&gt;&gt; 'AdjustmentsForOtherFinancialAssetsNoncurrent')::numeric, 0) +
        COALESCE((cf.consolidated_json -&gt;&gt; 'AdjustmentsForOtherFinancialAssetsCurrent')::numeric, 0) +
        COALESCE((cf.consolidated_json -&gt;&gt; 'AdjustmentsForIncreaseDecreaseInTradePayablesCurrent')::numeric, 0) +
        COALESCE((cf.consolidated_json -&gt;&gt; 'AdjustmentsForIncreaseDecreaseInTradePayables')::numeric, 0) +
        COALESCE((cf.consolidated_json -&gt;&gt; 'AdjustmentsForIncreaseDecreaseInTradePayablesNoncurrent')::numeric, 0) +
        COALESCE((cf.consolidated_json -&gt;&gt; 'AdjustmentsForIncreaseDecreaseInOtherCurrentLiabilities')::numeric, 0) +
        COALESCE((cf.consolidated_json -&gt;&gt; 'AdjustmentsForIncreaseDecreaseInOtherNoncurrentLiabilities')::numeric, 0) +
        COALESCE((cf.consolidated_json -&gt;&gt; 'AdjustmentsForOtherBankBalances')::numeric, 0) +
        COALESCE((cf.consolidated_json -&gt;&gt; 'AdjustmentsForProvisionsCurrent')::numeric, 0) +
        COALESCE((cf.consolidated_json -&gt;&gt; 'AdjustmentsForProvisionsNoncurrent')::numeric, 0) +
        COALESCE((cf.consolidated_json -&gt;&gt; 'AdjustmentsForProvisions')::numeric, 0) +
        COALESCE((cf.consolidated_json -&gt;&gt; 'AdjustmentsForOtherFinancialLiabilitiesCurrent')::numeric, 0) +
        COALESCE((cf.consolidated_json -&gt;&gt; 'AdjustmentsForOtherFinancialLiabilitiesNoncurrent')::numeric, 0) +
        COALESCE((cf.consolidated_json -&gt;&gt; 'AdjustmentsForUnrealisedForeignExchangeLossesGains')::numeric, 0) +
        COALESCE((cf.consolidated_json -&gt;&gt; 'AdjustmentsForDepreciationAndAmortisationExpense')::numeric, 0) +
        COALESCE((cf.consolidated_json -&gt;&gt; 'AdjustmentsForImpairmentLossReversalOfImpairmentLossRecognisedInProfitOrLoss')::numeric, 0) +
        COALESCE((cf.consolidated_json -&gt;&gt; 'AdjustmentsForFinanceCosts')::numeric, 0) +
        COALESCE((cf.consolidated_json -&gt;&gt; 'AdjustmentsForDividendIncome')::numeric, 0) +
        COALESCE((cf.consolidated_json -&gt;&gt; 'AdjustmentsForInterestIncome')::numeric, 0) +
        COALESCE((cf.consolidated_json -&gt;&gt; 'AdjustmentsForSharebasedPayments')::numeric, 0) +
        COALESCE((cf.consolidated_json -&gt;&gt; 'AdjustmentsForFairValueGainsLosses')::numeric, 0) +
        COALESCE((cf.consolidated_json -&gt;&gt; 'AdjustmentsForUndistributedProfitsOfAssociates')::numeric, 0) +
        COALESCE((cf.consolidated_json -&gt;&gt; 'OtherAdjustmentsForWhichCashEffectsAreInvestingOrFinancingCashFlow')::numeric, 0) +
        COALESCE((cf.consolidated_json -&gt;&gt; 'OtherAdjustmentsToReconcileProfitLoss')::numeric, 0) +
        COALESCE((cf.consolidated_json -&gt;&gt; 'OtherAdjustmentsForNoncashItems')::numeric, 0) +
        COALESCE((cf.consolidated_json -&gt;&gt; 'ShareOfProfitAndLossFromPartnershipFirmOrAssociationOfPersonsOrLimitedLiabilityPartnerships')::numeric, 0) +
        COALESCE((cf.consolidated_json -&gt;&gt; 'ReceiptsFromSalesOfGoodsAndRenderingOfServices')::numeric, 0) +
        COALESCE((cf.consolidated_json -&gt;&gt; 'ReceiptsFromRoyaltiesFeesCommissionsAndOtherRevenue')::numeric, 0) +
        COALESCE((cf.consolidated_json -&gt;&gt; 'ReceiptsFromContractsHeldForDealingOrTradingPurpose')::numeric, 0) +
        COALESCE((cf.consolidated_json -&gt;&gt; 'ReceiptsFromPremiumsAndClaimsAnnuitiesAndOtherPolicyBenefits')::numeric, 0) +
        COALESCE((cf.consolidated_json -&gt;&gt; 'ReceiptsFromRentsAndSubsequentSalesOfAssetsHeldForRentalToOthersAndSubsequentlyHeldForSale')::numeric, 0) +
        COALESCE((cf.consolidated_json -&gt;&gt; 'OtherCashReceiptsFromOperatingActivities')::numeric, 0) +
        COALESCE((cf.consolidated_json -&gt;&gt; 'PaymentsToSuppliersForGoodsAndServices')::numeric, 0) +
        COALESCE((cf.consolidated_json -&gt;&gt; 'PaymentsFromContractsHeldForDealingOrTradingPurpose')::numeric, 0) +
        COALESCE((cf.consolidated_json -&gt;&gt; 'PaymentsToAndOnBehalfOfEmployees')::numeric, 0) +
        COALESCE((cf.consolidated_json -&gt;&gt; 'PaymentsForPremiumsAndClaimsAnnuitiesAndOtherPolicyBenefits')::numeric, 0) +
        COALESCE((cf.consolidated_json -&gt;&gt; 'PaymentsToManufactureOrAcquireAssetsHeldForRentalToOthersAndSubsequentlyHeldForSale')::numeric, 0) +
        COALESCE((cf.consolidated_json -&gt;&gt; 'OtherCashPaymentsFromOperatingActivities')::numeric, 0)+		  
		COALESCE((cf.consolidated_json -&gt;&gt; 'DividendsReceivedClassifiedAsOperatingActivities')::numeric, 0) +
        COALESCE((cf.consolidated_json -&gt;&gt; 'InterestPaidClassifiedAsOperatingActivities')::numeric, 0) +
        COALESCE((cf.consolidated_json -&gt;&gt; 'InterestReceivedClassifiedAsOperatingActivities')::numeric, 0) +
        COALESCE((cf.consolidated_json -&gt;&gt; 'IncomeTaxesPaidRefundClassifiedAsOperatingActivities')::numeric, 0) +
        COALESCE((cf.consolidated_json -&gt;&gt; 'OtherInflowsOutflowsOfCashClassifiedAsOperatingActivities')::numeric, 0) +
        COALESCE((cf.consolidated_json -&gt;&gt; 'ProceedsFromExtraordinaryItemsClassifiedAsOperatingActivities')::numeric, 0) +
        COALESCE((cf.consolidated_json -&gt;&gt; 'PaymentForExtraordinaryItemsClassifiedAsOperatingActivities')::numeric, 0)
    ) AS ComponentsSum
FROM cash_flows cf
JOIN public.company_profiles cp 
  ON cp.stock_symbol = cf.stock_symbol
WHERE cf.period = 'Annual'
  AND ((cf.consolidated_json -&gt;&gt; 'CashFlowsFromUsedInOperatingActivities')::numeric -
      (
        COALESCE((cf.consolidated_json -&gt;&gt; 'ProfitBeforeTax')::numeric, 0) +
        COALESCE((cf.consolidated_json -&gt;&gt; 'ProfitBeforeExtraordinaryItemsAndTax')::numeric, 0) +
        COALESCE((cf.consolidated_json -&gt;&gt; 'AdjustmentsForDecreaseIncreaseInInventories')::numeric, 0) +
        COALESCE((cf.consolidated_json -&gt;&gt; 'AdjustmentsForDecreaseIncreaseInTradeReceivablesCurrent')::numeric, 0) +
        COALESCE((cf.consolidated_json -&gt;&gt; 'AdjustmentsForDecreaseIncreaseInTradeReceivables')::numeric, 0) +
        COALESCE((cf.consolidated_json -&gt;&gt; 'AdjustmentsForDecreaseIncreaseInTradeReceivablesNoncurrent')::numeric, 0) +
        COALESCE((cf.consolidated_json -&gt;&gt; 'AdjustmentsForDecreaseIncreaseInOtherCurrentAssets')::numeric, 0) +
        COALESCE((cf.consolidated_json -&gt;&gt; 'AdjustmentsForDecreaseIncreaseInOtherNoncurrentAssets')::numeric, 0) +
        COALESCE((cf.consolidated_json -&gt;&gt; 'AdjustmentsForOtherFinancialAssetsNoncurrent')::numeric, 0) +
        COALESCE((cf.consolidated_json -&gt;&gt; 'AdjustmentsForOtherFinancialAssetsCurrent')::numeric, 0) +
        COALESCE((cf.consolidated_json -&gt;&gt; 'AdjustmentsForIncreaseDecreaseInTradePayablesCurrent')::numeric, 0) +
        COALESCE((cf.consolidated_json -&gt;&gt; 'AdjustmentsForIncreaseDecreaseInTradePayables')::numeric, 0) +
        COALESCE((cf.consolidated_json -&gt;&gt; 'AdjustmentsForIncreaseDecreaseInTradePayablesNoncurrent')::numeric, 0) +
        COALESCE((cf.consolidated_json -&gt;&gt; 'AdjustmentsForIncreaseDecreaseInOtherCurrentLiabilities')::numeric, 0) +
        COALESCE((cf.consolidated_json -&gt;&gt; 'AdjustmentsForIncreaseDecreaseInOtherNoncurrentLiabilities')::numeric, 0) +
        COALESCE((cf.consolidated_json -&gt;&gt; 'AdjustmentsForOtherBankBalances')::numeric, 0) +
        COALESCE((cf.consolidated_json -&gt;&gt; 'AdjustmentsForProvisionsCurrent')::numeric, 0) +
        COALESCE((cf.consolidated_json -&gt;&gt; 'AdjustmentsForProvisionsNoncurrent')::numeric, 0) +
        COALESCE((cf.consolidated_json -&gt;&gt; 'AdjustmentsForProvisions')::numeric, 0) +
        COALESCE((cf.consolidated_json -&gt;&gt; 'AdjustmentsForOtherFinancialLiabilitiesCurrent')::numeric, 0) +
        COALESCE((cf.consolidated_json -&gt;&gt; 'AdjustmentsForOtherFinancialLiabilitiesNoncurrent')::numeric, 0) +
        COALESCE((cf.consolidated_json -&gt;&gt; 'AdjustmentsForUnrealisedForeignExchangeLossesGains')::numeric, 0) +
        COALESCE((cf.consolidated_json -&gt;&gt; 'AdjustmentsForDepreciationAndAmortisationExpense')::numeric, 0) +
        COALESCE((cf.consolidated_json -&gt;&gt; 'AdjustmentsForImpairmentLossReversalOfImpairmentLossRecognisedInProfitOrLoss')::numeric, 0) +
        COALESCE((cf.consolidated_json -&gt;&gt; 'AdjustmentsForFinanceCosts')::numeric, 0) +
        COALESCE((cf.consolidated_json -&gt;&gt; 'AdjustmentsForDividendIncome')::numeric, 0) +
        COALESCE((cf.consolidated_json -&gt;&gt; 'AdjustmentsForInterestIncome')::numeric, 0) +
        COALESCE((cf.consolidated_json -&gt;&gt; 'AdjustmentsForSharebasedPayments')::numeric, 0) +
        COALESCE((cf.consolidated_json -&gt;&gt; 'AdjustmentsForFairValueGainsLosses')::numeric, 0) +
        COALESCE((cf.consolidated_json -&gt;&gt; 'AdjustmentsForUndistributedProfitsOfAssociates')::numeric, 0) +
        COALESCE((cf.consolidated_json -&gt;&gt; 'OtherAdjustmentsForWhichCashEffectsAreInvestingOrFinancingCashFlow')::numeric, 0) +
        COALESCE((cf.consolidated_json -&gt;&gt; 'OtherAdjustmentsToReconcileProfitLoss')::numeric, 0) +
        COALESCE((cf.consolidated_json -&gt;&gt; 'OtherAdjustmentsForNoncashItems')::numeric, 0) +
        COALESCE((cf.consolidated_json -&gt;&gt; 'ShareOfProfitAndLossFromPartnershipFirmOrAssociationOfPersonsOrLimitedLiabilityPartnerships')::numeric, 0) +
        COALESCE((cf.consolidated_json -&gt;&gt; 'ReceiptsFromSalesOfGoodsAndRenderingOfServices')::numeric, 0) +
        COALESCE((cf.consolidated_json -&gt;&gt; 'ReceiptsFromRoyaltiesFeesCommissionsAndOtherRevenue')::numeric, 0) +
        COALESCE((cf.consolidated_json -&gt;&gt; 'ReceiptsFromContractsHeldForDealingOrTradingPurpose')::numeric, 0) +
        COALESCE((cf.consolidated_json -&gt;&gt; 'ReceiptsFromPremiumsAndClaimsAnnuitiesAndOtherPolicyBenefits')::numeric, 0) +
        COALESCE((cf.consolidated_json -&gt;&gt; 'ReceiptsFromRentsAndSubsequentSalesOfAssetsHeldForRentalToOthersAndSubsequentlyHeldForSale')::numeric, 0) +
        COALESCE((cf.consolidated_json -&gt;&gt; 'OtherCashReceiptsFromOperatingActivities')::numeric, 0) +
        COALESCE((cf.consolidated_json -&gt;&gt; 'PaymentsToSuppliersForGoodsAndServices')::numeric, 0) +
        COALESCE((cf.consolidated_json -&gt;&gt; 'PaymentsFromContractsHeldForDealingOrTradingPurpose')::numeric, 0) +
        COALESCE((cf.consolidated_json -&gt;&gt; 'PaymentsToAndOnBehalfOfEmployees')::numeric, 0) +
        COALESCE((cf.consolidated_json -&gt;&gt; 'PaymentsForPremiumsAndClaimsAnnuitiesAndOtherPolicyBenefits')::numeric, 0) +
        COALESCE((cf.consolidated_json -&gt;&gt; 'PaymentsToManufactureOrAcquireAssetsHeldForRentalToOthersAndSubsequentlyHeldForSale')::numeric, 0) +
        COALESCE((cf.consolidated_json -&gt;&gt; 'OtherCashPaymentsFromOperatingActivities')::numeric, 0)+		  
		COALESCE((cf.consolidated_json -&gt;&gt; 'DividendsReceivedClassifiedAsOperatingActivities')::numeric, 0) +
        COALESCE((cf.consolidated_json -&gt;&gt; 'InterestPaidClassifiedAsOperatingActivities')::numeric, 0) +
        COALESCE((cf.consolidated_json -&gt;&gt; 'InterestReceivedClassifiedAsOperatingActivities')::numeric, 0) +
        COALESCE((cf.consolidated_json -&gt;&gt; 'IncomeTaxesPaidRefundClassifiedAsOperatingActivities')::numeric, 0) +
        COALESCE((cf.consolidated_json -&gt;&gt; 'OtherInflowsOutflowsOfCashClassifiedAsOperatingActivities')::numeric, 0) +
        COALESCE((cf.consolidated_json -&gt;&gt; 'ProceedsFromExtraordinaryItemsClassifiedAsOperatingActivities')::numeric, 0) +
        COALESCE((cf.consolidated_json -&gt;&gt; 'PaymentForExtraordinaryItemsClassifiedAsOperatingActivities')::numeric, 0)
      )) &gt; 100000000 AND cf.date_header &lt;&gt; 'YTD' and cp.industry &lt;&gt; 'Banks' order by cp.market_cap desc</t>
  </si>
  <si>
    <t>You will get rows where any of the three keys is missing</t>
  </si>
  <si>
    <t>Banks Balancing 
aAssets = Child heads
CapitalAndLiabilities = Child heads
Assets = CapitalAndLiabilities</t>
  </si>
  <si>
    <t>Check for TDPOWERSYS
https://www.bseindia.com/XBRLFILES/FourOneUploadDocument/Main_Ind_As_533553_105202395758.xml
select * from balance_sheets where stock_symbol = 'TDPOWERSYS' and period = 'Annual' order by timestamp desc</t>
  </si>
  <si>
    <t>Taken care via API</t>
  </si>
  <si>
    <t>SELECT 
    bs.*,
    cp.market_cap
FROM balance_sheets bs
JOIN company_profiles cp 
    ON cp.stock_symbol = bs.stock_symbol
WHERE cp.industry &lt;&gt; 'Banks'
  AND bs.date_header IN ('Mar 2018','Mar 2017','Sep 2017','Mar 2019','Mar 2020','Mar 2021','Mar 2022','Mar 2023','Mar 2024','Mar 2025')
  AND (
        -- standalone_json checks
        NOT (bs.standalone_json ? 'Assets')
        OR NOT (bs.standalone_json ? 'Liabilities')
        OR NOT (bs.standalone_json ? 'Equity')
      )
  AND (
        -- consolidated_json checks
        NOT (bs.consolidated_json ? 'Assets')
        OR NOT (bs.consolidated_json ? 'Liabilities')
        OR NOT (bs.consolidated_json ? 'Equity')
      )
ORDER BY bs.stock_symbol ASC;</t>
  </si>
  <si>
    <t xml:space="preserve">Missing Assets, Liabilities and Equity heads. </t>
  </si>
  <si>
    <t>BS - Standalone
Make changes for consolidated</t>
  </si>
  <si>
    <t>CF</t>
  </si>
  <si>
    <t>WITH bounds AS (
    SELECT
        stock_symbol,
        MIN(timestamp) AS min_ts,
        MAX(timestamp) AS max_ts
    FROM shareholder_summaries
    GROUP BY stock_symbol
),
start_end AS (
    SELECT
        stock_symbol,
        GREATEST(MIN(timestamp), 202201231) AS start_ts,
        MAX(timestamp) AS end_ts
    FROM shareholder_summaries
    GROUP BY stock_symbol
),
years AS (
    SELECT 
        stock_symbol,
        SUBSTRING(start_ts::TEXT, 1, 4)::INT AS start_year,
        SUBSTRING(end_ts::TEXT, 1, 4)::INT AS end_year,
        start_ts,
        end_ts
    FROM start_end
),
expected AS (
    SELECT
        y.stock_symbol,
        (yr || q.suffix)::BIGINT AS expected_ts
    FROM years y
    CROSS JOIN LATERAL generate_series(y.start_year, y.end_year) yr
    CROSS JOIN (
        VALUES ('00331'), ('00630'), ('00930'), ('01231')
    ) AS q(suffix)
    WHERE (yr || q.suffix)::BIGINT &gt;= y.start_ts
      AND (yr || q.suffix)::BIGINT &lt;= y.end_ts
),
missing AS (
    SELECT e.stock_symbol, e.expected_ts
    FROM expected e
    LEFT JOIN shareholder_summaries s
        ON s.stock_symbol = e.stock_symbol
       AND s.timestamp = e.expected_ts
    WHERE s.timestamp IS NULL
)
SELECT 
    m.stock_symbol,
    CASE RIGHT(m.expected_ts::TEXT, 4)
        WHEN '0331' THEN 'Mar ' || LEFT(m.expected_ts::TEXT, 4)
        WHEN '0630' THEN 'Jun ' || LEFT(m.expected_ts::TEXT, 4)
        WHEN '0930' THEN 'Sep ' || LEFT(m.expected_ts::TEXT, 4)
        WHEN '1231' THEN 'Dec ' || LEFT(m.expected_ts::TEXT, 4)
    END AS formatted_period,
    cp.market_cap,
    cp.active,
    cp.ready_for_api, cp.company_name, cp.sub_industry
FROM missing m
LEFT JOIN company_profiles cp
    ON cp.stock_symbol = m.stock_symbol
WHERE cp.company_name NOT ILIKE '%ETF%'
  AND cp.company_name NOT ILIKE '%Mutual Fund%'
ORDER BY cp.market_cap DESC;</t>
  </si>
  <si>
    <t>Find all unique to_date and stock_symbol combinations &gt;= 2023-03-31 with period = Annual across all three tables</t>
  </si>
  <si>
    <t>SELECT bs.*, pl.*
FROM balance_sheets bs
JOIN profit_losses pl
    ON bs.stock_symbol = pl.stock_symbol
   AND bs.date_header = pl.date_header
WHERE bs.period = 'Quarterly'
  AND bs.ttm_indicator = 'False'
  AND bs.date_header ILIKE 'Mar%'
  AND bs.period = 'Annual';</t>
  </si>
  <si>
    <t>Get % change between 2 price point</t>
  </si>
  <si>
    <t xml:space="preserve">Get % change between 2 price point but print 1 company </t>
  </si>
  <si>
    <t>WITH all_dates AS (
    SELECT DISTINCT to_date, stock_symbol
    FROM (
        SELECT to_date, stock_symbol 
        FROM profit_losses 
        WHERE period = 'Annual' AND to_date &gt;= '2023-03-31'
        UNION
        SELECT to_date, stock_symbol 
        FROM balance_sheets 
        WHERE period = 'Annual' AND to_date &gt;= '2023-03-31'
        UNION
        SELECT to_date, stock_symbol 
        FROM cash_flows 
        WHERE period = 'Annual' AND to_date &gt;= '2023-03-31'
    ) combined
),
table_presence AS (
    SELECT 
        ad.to_date,
        ad.stock_symbol,
        CASE WHEN pl.to_date IS NOT NULL THEN 'Present' ELSE 'Missing' END as profit_losses,
        CASE WHEN bs.to_date IS NOT NULL THEN 'Present' ELSE 'Missing' END as balance_sheets,
        CASE WHEN cf.to_date IS NOT NULL THEN 'Present' ELSE 'Missing' END as cash_flows,
        (CASE WHEN pl.to_date IS NOT NULL THEN 1 ELSE 0 END +
         CASE WHEN bs.to_date IS NOT NULL THEN 1 ELSE 0 END +
         CASE WHEN cf.to_date IS NOT NULL THEN 1 ELSE 0 END) as present_count
    FROM all_dates ad
    LEFT JOIN profit_losses pl 
        ON TO_CHAR(ad.to_date, 'YYYY-MM-DD') = TO_CHAR(pl.to_date, 'YYYY-MM-DD') 
        AND ad.stock_symbol = pl.stock_symbol
        AND pl.period = 'Annual'
    LEFT JOIN balance_sheets bs 
        ON TO_CHAR(ad.to_date, 'YYYY-MM-DD') = TO_CHAR(bs.to_date, 'YYYY-MM-DD') 
        AND ad.stock_symbol = bs.stock_symbol
        AND bs.period = 'Annual'
    LEFT JOIN cash_flows cf 
        ON TO_CHAR(ad.to_date, 'YYYY-MM-DD') = TO_CHAR(cf.to_date, 'YYYY-MM-DD') 
        AND ad.stock_symbol = cf.stock_symbol
        AND cf.period = 'Annual'
)
SELECT 
    tp.stock_symbol,
    TO_CHAR(tp.to_date, 'YYYY-MM-DD') AS date_header,
    'Annual' AS period,
    cp.market_cap,
    cp.industry,
    cp.consolidated_ind,
    tp.profit_losses,
    tp.balance_sheets,
    tp.cash_flows,
    x.xbrl_id, 
    x.nse_standalone_xbrl_url,
    x.nse_consolidated_xbrl_url,
    x.bse_standalone_xbrl_url,
    x.bse_consolidated_xbrl_url,
    CASE 
        WHEN tp.present_count = 3 THEN 'Complete (in all 3 tables)'
        ELSE 'Incomplete - missing from ' || (3 - tp.present_count) || ' table(s)'
    END AS status
FROM table_presence tp
INNER JOIN company_profiles cp 
    ON tp.stock_symbol = cp.stock_symbol
LEFT JOIN utils.company_exchange_xbrls x
    ON x.stock_symbol = tp.stock_symbol
    AND x.period = 'Annual'
    AND to_char(tp.to_date, 'DD-Mon-YYYY') = x.to_date
WHERE 
    cp.market_cap &gt; 0 and cp.industry &lt;&gt; 'Insurance'
    AND cp.active = 'true'
    AND tp.present_count &lt; 3         -- 🔥 SHOW ONLY INCOMPLETE RECORDS
ORDER BY cp.market_cap DESC;</t>
  </si>
  <si>
    <t xml:space="preserve">Changes added ar API level. </t>
  </si>
  <si>
    <t>SELECT * FROM utils.company_exchange_xbrls WHERE stock_symbol = 'M&amp;MFIN' ORDER BY to_date("to_date", 'DD-MON-YYYY') DESC;</t>
  </si>
  <si>
    <t>UPDATE balance_sheets bs
SET consolidated_json = jsonb_set(
    bs.consolidated_json,
    '{Equity}',
    to_jsonb(
        COALESCE((bs.consolidated_json -&gt;&gt; 'EquityShareCapital')::NUMERIC, 0) +
        COALESCE((bs.consolidated_json -&gt;&gt; 'OtherEquity')::NUMERIC, 0) +
        COALESCE((bs.consolidated_json -&gt;&gt; 'NonControllingInterest')::NUMERIC, 0)
    )
)
WHERE 
    bs.id IN (
        53569, 51763, 52596, 22258, 62935, 53980, 62918, 63487, 63484, 63499, 62952, 37283
    )
    AND 
    (
        COALESCE((bs.consolidated_json -&gt;&gt; 'Equity')::NUMERIC, 0) +
        COALESCE((bs.consolidated_json -&gt;&gt; 'NonControllingInterest')::NUMERIC, 0) +
        COALESCE((bs.consolidated_json -&gt;&gt; 'CurrentLiabilities')::NUMERIC, 0) +
        COALESCE((bs.consolidated_json -&gt;&gt; 'NoncurrentLiabilities')::NUMERIC, 0) +
        COALESCE((bs.consolidated_json -&gt;&gt; 'NoncurrentAssetsClassifiedAsHeldForSale')::NUMERIC, 0) +
        COALESCE((bs.consolidated_json -&gt;&gt; 'ShareApplicationMoneyPendingAllotment')::NUMERIC, 0)
    )
    =
    COALESCE((bs.consolidated_json -&gt;&gt; 'EquityAndLiabilities')::NUMERIC, 0);</t>
  </si>
  <si>
    <t>UPDATE utils.company_exchange_xbrls
SET
    pending_import = TRUE,
    pending_export = TRUE
WHERE stock_symbol = 'SASTASUNDR'
  AND bse_standalone_xbrl_url &lt;&gt; ''
  AND xbrl_id IN (
      282311,
      70900,
      70905,
      70910,
      70915,
      70920,
      70925,
      70930,
      70935,
      70940,
      70945,
      70950,
      70955,
      70960,
      70965
  );</t>
  </si>
  <si>
    <t>UPDATE profit_losses pl
SET consolidated_overrides = jsonb_build_object(
    'ProfitLossForPeriod', v.profit_loss_for_period,
    'ProfitOrLossAttributableToNonControllingInterests', v.nci,
    'ProfitLossForPeriodForEPS', v.profit_loss_eps,
    'ProfitOrLossAttributableToOwnersOfParent', v.owners_profit
)
FROM (
    VALUES
        (26272, 3716600000, 0, 3716600000, 3716600000)
        ) AS v(
    id,
    profit_loss_for_period,
    nci,
    profit_loss_eps,
    owners_profit
)
WHERE pl.id = v.id;</t>
  </si>
  <si>
    <t>SELECT 
    ucex.xbrl_id,   -- corrected
    cp.market_cap,
    cf.*,
    ucex.bse_standalone_xbrl_url
FROM cash_flows cf
JOIN company_profiles cp 
    ON cp.stock_symbol = cf.stock_symbol
LEFT JOIN (
    -- Pick only one XBRL row per stock + date (latest by id)
    SELECT DISTINCT ON (stock_symbol, to_date)
        stock_symbol,
        to_date,
        xbrl_id,  -- make sure xbrl_id is selected here
        bse_standalone_xbrl_url
    FROM utils.company_exchange_xbrls
    WHERE bse_standalone_xbrl_url IS NOT NULL
    ORDER BY stock_symbol, to_date DESC
) ucex
    ON ucex.stock_symbol = cf.stock_symbol
    AND TO_CHAR(cf.to_date, 'DD-Mon-YYYY') =
        TO_CHAR(TO_DATE(ucex.to_date, 'DD-MON-YYYY'), 'DD-Mon-YYYY')
WHERE 
    (
        NOT (cf.standalone_json ? 'CashFlowsFromUsedInOperatingActivities')
        OR NOT (cf.standalone_json ? 'CashFlowsFromUsedInInvestingActivities')
        OR NOT (cf.standalone_json ? 'CashFlowsFromUsedInFinancingActivities')
    )
    AND cf.period = 'Annual'
    AND cf.date_header::text LIKE ANY (ARRAY[
        '%2022%', '%2023%', '%2024%', '%2025%'
    ]) and (cf.standalone_json -&gt; 'CashFlowsFromUsedInInvestingActivities' IS NOT NULL or 
		   cf.standalone_json -&gt; 'CashFlowsFromUsedInFinancingActivities' IS NOT NULL)  --Key input
    --AND cp.standalone_ind = 'true'
ORDER BY cp.market_cap DESC;</t>
  </si>
  <si>
    <t>SELECT 
    ucex.xbrl_id,
    cp.market_cap,
    cf.*,
    ucex.bse_consolidated_xbrl_url,
    ucex.nse_consolidated_xbrl_url   -- added
FROM cash_flows cf
JOIN company_profiles cp 
    ON cp.stock_symbol = cf.stock_symbol
LEFT JOIN (
    -- Pick only one XBRL row per stock + date (latest by id)
    SELECT DISTINCT ON (stock_symbol, to_date)
        stock_symbol,
        to_date,
        xbrl_id,
        bse_consolidated_xbrl_url,
        nse_consolidated_xbrl_url     -- added
    FROM utils.company_exchange_xbrls
    WHERE bse_consolidated_xbrl_url IS NOT NULL
    ORDER BY stock_symbol, to_date DESC
) ucex
    ON ucex.stock_symbol = cf.stock_symbol
    AND TO_CHAR(cf.to_date, 'DD-Mon-YYYY') =
        TO_CHAR(TO_DATE(ucex.to_date, 'DD-MON-YYYY'), 'DD-Mon-YYYY')
WHERE 
    (
        NOT (cf.consolidated_json ? 'CashFlowsFromUsedInOperatingActivities')
        OR NOT (cf.consolidated_json ? 'CashFlowsFromUsedInInvestingActivities')
        OR NOT (cf.consolidated_json ? 'CashFlowsFromUsedInFinancingActivities')
    )
    AND cf.period = 'Annual'
    AND cf.date_header::text LIKE ANY (ARRAY[
        '%2022%', '%2023%', '%2024%', '%2025%'
    ])
    AND (
        cf.consolidated_json ? 'CashFlowsFromUsedInInvestingActivities' is not null
        OR cf.consolidated_json ? 'CashFlowsFromUsedInFinancingActivities' is not null
    )
    AND cp.consolidated_ind = 'true'
ORDER BY ucex.nse_consolidated_xbrl_url DESC;</t>
  </si>
  <si>
    <t>WITH bs_enriched AS (
    SELECT
        bs.stock_symbol,
        bs.period,
        bs.date_header,
        bs.timestamp,
        cp.market_cap,
        (bs.standalone_json -&gt;&gt; 'Assets')::numeric AS assets,
        LAG((bs.standalone_json -&gt;&gt; 'Assets')::numeric)
            OVER (PARTITION BY bs.stock_symbol ORDER BY bs.timestamp) AS prev_assets,
        LEAD((bs.standalone_json -&gt;&gt; 'Assets')::numeric)
            OVER (PARTITION BY bs.stock_symbol ORDER BY bs.timestamp) AS next_assets
    FROM balance_sheets bs
    JOIN company_profiles cp
        ON bs.stock_symbol = cp.stock_symbol
    WHERE bs.period = 'Annual'
)
SELECT
    stock_symbol,
    period,
    date_header,
    market_cap,
    assets,
    prev_assets,
    next_assets,
    -- % difference vs previous (rounded)
    ROUND(
        ((assets - prev_assets) / NULLIF(prev_assets, 0)) * 100,
        0
    ) AS pct_diff_prev,
    -- % difference vs next (rounded)
    ROUND(
        ((assets - next_assets) / NULLIF(next_assets, 0)) * 100,
        0
    ) AS pct_diff_next
FROM bs_enriched
WHERE prev_assets IS NOT NULL
  AND next_assets IS NOT NULL
  -- check only when abs % diff is &gt;= 100% with BOTH sides
  AND ABS((assets - prev_assets) / NULLIF(prev_assets, 0)) &gt;= 1
  AND ABS((assets - next_assets) / NULLIF(next_assets, 0)) &gt;= 1
ORDER BY pct_diff_prev DESC, timestamp DESC;</t>
  </si>
  <si>
    <t>SELECT
    cp.stock_symbol,
    cp.market_cap
FROM company_profiles cp
WHERE industry &lt;&gt; 'Insurance'
  AND EXISTS (
      SELECT 1
      FROM profit_losses pl
      WHERE pl.stock_symbol = cp.stock_symbol
        AND pl.period = 'Quarterly'
        AND pl.date_header = 'Mar 2025'
  )
  AND NOT EXISTS (
      SELECT 1
      FROM profit_losses pl
      WHERE pl.stock_symbol = cp.stock_symbol
        AND pl.period = 'Quarterly'
        AND pl.date_header = 'Jun 2025'
  )
  AND NOT EXISTS (
      SELECT 1
      FROM profit_losses pl
      WHERE pl.stock_symbol = cp.stock_symbol
        AND pl.period = 'Quarterly'
        AND pl.date_header = 'Sep 2025'
  )
ORDER BY cp.market_cap DESC;</t>
  </si>
  <si>
    <t>WITH expected_quarters AS (
    SELECT 'Jun 2024' AS date_header
    UNION ALL SELECT 'Sep 2024'
    UNION ALL SELECT 'Dec 2024'
    UNION ALL SELECT 'Mar 2025'
    UNION ALL SELECT 'Jun 2025'
    UNION ALL SELECT 'Sep 2025'
)
SELECT
    cp.stock_symbol,
    cp.market_cap,
    STRING_AGG(eq.date_header, ', ' ORDER BY eq.date_header) AS missing_quarters,
    (cp.quote_date &gt;= TIMESTAMPTZ '2025-12-01 15:30:00+00') AS active
FROM company_profiles cp
JOIN profit_losses pl_mar
    ON pl_mar.stock_symbol = cp.stock_symbol
   AND pl_mar.period = 'Quarterly'
   AND pl_mar.date_header = 'Mar 2024'
LEFT JOIN expected_quarters eq
    ON NOT EXISTS (
        SELECT 1
        FROM profit_losses pl
        WHERE pl.stock_symbol = cp.stock_symbol
          AND pl.period = 'Quarterly'
          AND pl.date_header = eq.date_header
    )
WHERE cp.industry &lt;&gt; 'Insurance'
  AND cp.quote_date &gt;= TIMESTAMPTZ '2025-12-01 15:30:00+00'   -- active = true
GROUP BY
    cp.stock_symbol,
    cp.market_cap,
    cp.quote_date
HAVING COUNT(eq.date_header) &gt; 0
ORDER BY cp.market_cap DESC;</t>
  </si>
  <si>
    <t>Missing Q XBRL</t>
  </si>
  <si>
    <t>SELECT
    cp.stock_symbol,
    cp.market_cap,
    q.xbrl_id AS quarterly_xbrl_id,
    q.period AS quarterly_period,
    q.to_date AS quarterly_to_date,
    q.bse_standalone_xbrl_url AS bse_quarterly_xbrl_url,
    q.nse_standalone_xbrl_url AS nse_quarterly_xbrl_url,
    a.period AS annual_period,
    a.to_date AS annual_to_date,
    a.bse_standalone_xbrl_url AS annual_xbrl_url
FROM utils.company_exchange_xbrls q
JOIN utils.company_exchange_xbrls a
  ON q.stock_symbol = a.stock_symbol
 AND TO_DATE(q.to_date, 'DD-MON-YYYY') = TO_DATE(a.to_date, 'DD-MON-YYYY')
JOIN company_profiles cp
  ON cp.stock_symbol = q.stock_symbol
 AND cp.industry &lt;&gt; 'Insurance'
WHERE
    q.period = 'Quarterly'
    AND (q.bse_standalone_xbrl_url IS NULL OR q.bse_standalone_xbrl_url = '')
    AND TO_DATE(q.to_date, 'DD-MON-YYYY')
        BETWEEN DATE '2018-01-01' AND DATE '2025-12-31'
    AND a.period = 'Annual'
    AND a.bse_standalone_xbrl_url IS NOT NULL
    AND a.bse_standalone_xbrl_url &lt;&gt; ''
    AND NOT EXISTS (
        SELECT 1
        FROM profit_losses pl
        WHERE pl.stock_symbol = q.stock_symbol
          AND date_trunc(
                'month',
                TO_DATE(pl.date_header, 'MON-YYYY')
              ) = date_trunc(
                'month',
                TO_DATE(q.to_date, 'DD-MON-YYYY')
              )
          AND pl.standalone_json IS NOT NULL
          AND pl.standalone_json &lt;&gt; '{}'::jsonb
          AND pl.standalone_json &lt;&gt; '[]'::jsonb
		  AND period = 'Quarterly'
		  AND date_header &lt;&gt; 'TTM'
    )
ORDER BY
    cp.market_cap DESC;</t>
  </si>
  <si>
    <t>WITH ranked_quotes AS (
    SELECT
        dq.*,
        cp.company_name,
        cp.market_cap AS cp_market_cap,
        LAG(dq.open_price) OVER (
            PARTITION BY dq.stock_symbol 
            ORDER BY dq.quote_date DESC
        ) AS prev_open_price,
        LAG(dq.quote_date) OVER (
            PARTITION BY dq.stock_symbol 
            ORDER BY dq.quote_date DESC
        ) AS prev_quote_date  -- add previous quote date
    FROM daily_quotes dq
    JOIN company_profiles cp 
        ON cp.stock_symbol = dq.stock_symbol
    WHERE cp.market_cap &gt; 0 and cp.active = 'true'
      AND dq.quote_date &lt;&gt; '0001-01-01 00:00:00'  AND dq.inactive &lt;&gt; 'true'-- exclude invalid dates
),
pct_change AS (
    SELECT
        *,
        CASE 
            WHEN prev_open_price IS NULL OR prev_open_price = 0 THEN NULL
            ELSE ((open_price - prev_open_price) / prev_open_price) * 100
        END AS open_price_pct_change
    FROM ranked_quotes
),
filtered AS (
    SELECT
        *,
        ROW_NUMBER() OVER (
            PARTITION BY stock_symbol 
            ORDER BY ABS(open_price_pct_change) DESC
        ) AS rn
    FROM pct_change
    WHERE open_price_pct_change IS NOT NULL
      AND ABS(open_price_pct_change) &gt;= 30
)
SELECT
    stock_symbol,
    quote_date,
    -- Rounded output
    ROUND(open_price, 2) AS open_price,
    ROUND(prev_open_price, 2) AS prev_open_price,
    prev_quote_date,  -- show previous quote date
    ROUND(open_price_pct_change, 2) AS open_price_pct_change,
    company_name,
    cp_market_cap,
    -- Optional rounding for other prices
    ROUND(high_price, 2)  AS high_price,
    ROUND(low_price, 2)   AS low_price,
    ROUND(close_price, 2) AS close_price
FROM filtered
WHERE rn = 1
ORDER BY open_price_pct_change DESC;</t>
  </si>
  <si>
    <t>Based on closed price</t>
  </si>
  <si>
    <t>UPDATE daily_quotes
SET
    open_price  = ROUND((open_price / 2)::numeric, 2)::double precision,
    close_price = ROUND((close_price / 2)::numeric, 2)::double precision,
    high_price  = ROUND((high_price / 2)::numeric, 2)::double precision,
    low_price   = ROUND((low_price / 2)::numeric, 2)::double precision,
    market_cap  = ROUND((market_cap / 2)::numeric, 2)::double precision,
    volume      = volume * 10,
    standalone_json = (
        SELECT jsonb_object_agg(
            key,
            ROUND((value::numeric / 2), 2)
        )
        FROM jsonb_each(standalone_json::jsonb)
    ),
    consolidated_json = (
        SELECT jsonb_object_agg(
            key,
            ROUND((value::numeric / 2), 2)
        )
        FROM jsonb_each(consolidated_json::jsonb)
    )
WHERE stock_symbol = 'BAJAJFINSV'
  AND quote_date &lt; '2022-09-09 15:30:00';</t>
  </si>
  <si>
    <t>Update SQL for Price</t>
  </si>
  <si>
    <t xml:space="preserve">Based on open price - get price point that has high % diff with previous and next row. </t>
  </si>
  <si>
    <t xml:space="preserve">Based on closed price - get price point that has high % diff with previous and next row. </t>
  </si>
  <si>
    <t xml:space="preserve">SQL </t>
  </si>
  <si>
    <t>Purpose</t>
  </si>
  <si>
    <t>Duplicate records</t>
  </si>
  <si>
    <t>SELECT company_name, COUNT(*) as record_count
FROM public.company_profiles where active = 'true'
GROUP BY company_name
HAVING COUNT(*) &gt;= 2</t>
  </si>
  <si>
    <t>Imp details null check</t>
  </si>
  <si>
    <t>Check with master list once in a quarter!</t>
  </si>
  <si>
    <t xml:space="preserve">
https://www.nseindia.com/static/market-data/securities-available-for-trading
https://www.bseindia.com/corporates/List_Scrips.html
</t>
  </si>
  <si>
    <t>WITH bounds AS (
    SELECT
        stock_symbol,
        MIN(timestamp) AS min_ts,
        MAX(timestamp) AS max_ts
    FROM profit_losses 
    WHERE period = 'Quarterly' 
      AND consolidated_json IS NOT NULL
    GROUP BY stock_symbol
),
start_end AS (
    SELECT
        stock_symbol,
        GREATEST(MIN(timestamp), 202201231) AS start_ts,
        MAX(timestamp) AS end_ts
    FROM profit_losses 
    WHERE period = 'Quarterly'
    GROUP BY stock_symbol
),
years AS (
    SELECT 
        stock_symbol,
        SUBSTRING(start_ts::TEXT, 1, 4)::INT AS start_year,
        SUBSTRING(end_ts::TEXT, 1, 4)::INT AS end_year,
        start_ts,
        end_ts
    FROM start_end
),
expected AS (
    SELECT
        y.stock_symbol,
        (yr || q.suffix)::BIGINT AS expected_ts
    FROM years y
    CROSS JOIN LATERAL generate_series(y.start_year, y.end_year) yr
    CROSS JOIN (
        VALUES ('00331'), ('00630'), ('00930'), ('01231')
    ) AS q(suffix)
    WHERE (yr || q.suffix)::BIGINT &gt;= y.start_ts
      AND (yr || q.suffix)::BIGINT &lt;= y.end_ts
),
missing AS (
    SELECT e.stock_symbol, e.expected_ts
    FROM expected e
    LEFT JOIN profit_losses p
        ON p.stock_symbol = e.stock_symbol
       AND p.timestamp = e.expected_ts
    WHERE p.timestamp IS NULL
)
SELECT 
    m.stock_symbol,
    CASE RIGHT(m.expected_ts::TEXT, 4)
        WHEN '0331' THEN 'Mar ' || LEFT(m.expected_ts::TEXT, 4)
        WHEN '0630' THEN 'Jun ' || LEFT(m.expected_ts::TEXT, 4)
        WHEN '0930' THEN 'Sep ' || LEFT(m.expected_ts::TEXT, 4)
        WHEN '1231' THEN 'Dec ' || LEFT(m.expected_ts::TEXT, 4)
    END AS formatted_period,
    cp.market_cap,
    cp.industry,
    CASE 
        WHEN LEFT(m.expected_ts::TEXT, 4)::INT &gt;= 2023 THEN 'Y'
        ELSE 'N'
    END AS active_quarter
FROM missing m
LEFT JOIN company_profiles cp
    ON cp.stock_symbol = m.stock_symbol
WHERE cp.industry IS DISTINCT FROM 'Insurance' and cp.active = 'true'
ORDER BY cp.market_cap DESC;</t>
  </si>
  <si>
    <r>
      <t xml:space="preserve">324
</t>
    </r>
    <r>
      <rPr>
        <b/>
        <sz val="14"/>
        <color rgb="FFFF0000"/>
        <rFont val="Aptos Narrow"/>
        <scheme val="minor"/>
      </rPr>
      <t>20</t>
    </r>
    <r>
      <rPr>
        <sz val="14"/>
        <color rgb="FFFF0000"/>
        <rFont val="Aptos Narrow"/>
        <family val="2"/>
        <scheme val="minor"/>
      </rPr>
      <t xml:space="preserve"> with MC &gt; 1000</t>
    </r>
  </si>
  <si>
    <t>WITH start_end AS (
    SELECT
        stock_symbol,
        RIGHT(MIN(timestamp)::TEXT, 5) AS start_suffix,
        RIGHT(MAX(timestamp)::TEXT, 5) AS end_suffix,
        MIN(timestamp) AS start_ts,
        MAX(timestamp) AS end_ts
    FROM profit_losses
    WHERE period = 'Annual' and standalone_json IS NOT NULL
    GROUP BY stock_symbol
),
years AS (
    SELECT 
        stock_symbol,
        start_suffix,
        end_suffix,
        SUBSTRING(start_ts::TEXT, 1, 4)::INT AS start_year,
        SUBSTRING(end_ts::TEXT, 1, 4)::INT AS end_year,
        start_ts,
        end_ts
    FROM start_end
),
expected AS (
    SELECT
        y.stock_symbol,
        (yr || y.start_suffix)::BIGINT AS expected_ts
    FROM years y
    CROSS JOIN LATERAL generate_series(y.start_year, y.end_year) yr
    WHERE (yr || y.start_suffix)::BIGINT BETWEEN y.start_ts AND y.end_ts
),
missing AS (
    SELECT e.stock_symbol, e.expected_ts
    FROM expected e
    LEFT JOIN profit_losses p
        ON p.stock_symbol = e.stock_symbol
       AND p.timestamp = e.expected_ts
       AND p.period = 'Annual'
    WHERE p.timestamp IS NULL
)
SELECT 
    m.stock_symbol,
    CASE RIGHT(m.expected_ts::TEXT, 4)
        WHEN '0331' THEN 'Mar ' || LEFT(m.expected_ts::TEXT, 4)
        WHEN '0630' THEN 'Jun ' || LEFT(m.expected_ts::TEXT, 4)
        WHEN '0930' THEN 'Sep ' || LEFT(m.expected_ts::TEXT, 4)
        WHEN '1231' THEN 'Dec ' || LEFT(m.expected_ts::TEXT, 4)
        ELSE LEFT(m.expected_ts::TEXT, 4) || '-' || RIGHT(m.expected_ts::TEXT, 4)  -- fallback
    END AS formatted_period,
    cp.market_cap,cp.industry, 
    CASE 
        WHEN y.start_suffix &lt;&gt; y.end_suffix 
        THEN 'Change in Reporting Period'
        ELSE 'Consistent'
    END AS reporting_status
FROM missing m
JOIN years y
    ON m.stock_symbol = y.stock_symbol
LEFT JOIN company_profiles cp
    ON cp.stock_symbol = m.stock_symbol where cp.industry IS DISTINCT FROM 'Insurance' and cp.active = 'true'
ORDER BY cp.market_cap desc</t>
  </si>
  <si>
    <r>
      <t xml:space="preserve">501
</t>
    </r>
    <r>
      <rPr>
        <b/>
        <sz val="14"/>
        <color rgb="FFFF0000"/>
        <rFont val="Aptos Narrow"/>
        <scheme val="minor"/>
      </rPr>
      <t>23</t>
    </r>
    <r>
      <rPr>
        <sz val="14"/>
        <color rgb="FFFF0000"/>
        <rFont val="Aptos Narrow"/>
        <family val="2"/>
        <scheme val="minor"/>
      </rPr>
      <t xml:space="preserve"> with MC &gt; 1000</t>
    </r>
  </si>
  <si>
    <t>WITH start_end AS (
    SELECT
        stock_symbol,
        RIGHT(MIN(timestamp)::TEXT, 5) AS start_suffix,
        RIGHT(MAX(timestamp)::TEXT, 5) AS end_suffix,
        MIN(timestamp) AS start_ts,
        MAX(timestamp) AS end_ts
    FROM balance_sheets
    WHERE period = 'Annual' and standalone_json IS NOT NULL
    GROUP BY stock_symbol
),
years AS (
    SELECT 
        stock_symbol,
        start_suffix,
        end_suffix,
        SUBSTRING(start_ts::TEXT, 1, 4)::INT AS start_year,
        SUBSTRING(end_ts::TEXT, 1, 4)::INT AS end_year,
        start_ts,
        end_ts
    FROM start_end
),
expected AS (
    SELECT
        y.stock_symbol,
        (yr || y.start_suffix)::BIGINT AS expected_ts
    FROM years y
    CROSS JOIN LATERAL generate_series(y.start_year, y.end_year) yr
    WHERE (yr || y.start_suffix)::BIGINT BETWEEN y.start_ts AND y.end_ts
),
missing AS (
    SELECT e.stock_symbol, e.expected_ts
    FROM expected e
    LEFT JOIN balance_sheets p
        ON p.stock_symbol = e.stock_symbol
       AND p.timestamp = e.expected_ts
       AND p.period = 'Annual'
    WHERE p.timestamp IS NULL
)
SELECT 
    m.stock_symbol,
    CASE RIGHT(m.expected_ts::TEXT, 4)
        WHEN '0331' THEN 'Mar ' || LEFT(m.expected_ts::TEXT, 4)
        WHEN '0630' THEN 'Jun ' || LEFT(m.expected_ts::TEXT, 4)
        WHEN '0930' THEN 'Sep ' || LEFT(m.expected_ts::TEXT, 4)
        WHEN '1231' THEN 'Dec ' || LEFT(m.expected_ts::TEXT, 4)
        ELSE LEFT(m.expected_ts::TEXT, 4) || '-' || RIGHT(m.expected_ts::TEXT, 4) -- fallback
    END AS formatted_period,
    cp.market_cap,
    CASE 
        WHEN y.start_suffix &lt;&gt; y.end_suffix 
        THEN 'Change in Reporting Period'
        ELSE 'Consistent'
    END AS reporting_status
FROM missing m
JOIN years y
    ON m.stock_symbol = y.stock_symbol
LEFT JOIN company_profiles cp
    ON cp.stock_symbol = m.stock_symbol where cp.industry &lt;&gt; 'Insurance' and cp.active = 'true'
ORDER BY cp.market_cap desc</t>
  </si>
  <si>
    <t>408
14 with MC &gt; 1000</t>
  </si>
  <si>
    <t>WITH start_end AS (
    SELECT
        stock_symbol,
        RIGHT(MIN(timestamp)::TEXT, 5) AS start_suffix,
        RIGHT(MAX(timestamp)::TEXT, 5) AS end_suffix,
        MIN(timestamp) AS start_ts,
        MAX(timestamp) AS end_ts
    FROM cash_flows
    WHERE period = 'Annual' and consolidated_json IS NOT NULL and COALESCE((consolidated_json -&gt;&gt; 'CashFlowsFromUsedInFinancingActivities')::NUMERIC, 0) &lt;&gt; '0'
    GROUP BY stock_symbol
),
years AS (
    SELECT 
        stock_symbol,
        start_suffix,
        end_suffix,
        SUBSTRING(start_ts::TEXT, 1, 4)::INT AS start_year,
        SUBSTRING(end_ts::TEXT, 1, 4)::INT AS end_year,
        start_ts,
        end_ts
    FROM start_end
),
expected AS (
    SELECT
        y.stock_symbol,
        (yr || y.start_suffix)::BIGINT AS expected_ts
    FROM years y
    CROSS JOIN LATERAL generate_series(y.start_year, y.end_year) yr
    WHERE (yr || y.start_suffix)::BIGINT BETWEEN y.start_ts AND y.end_ts
),
missing AS (
    SELECT e.stock_symbol, e.expected_ts
    FROM expected e
    LEFT JOIN cash_flows p
        ON p.stock_symbol = e.stock_symbol
       AND p.timestamp = e.expected_ts
       AND p.period = 'Annual'
    WHERE p.timestamp IS NULL
)
SELECT 
    m.stock_symbol,
    CASE RIGHT(m.expected_ts::TEXT, 4)
        WHEN '0331' THEN 'Mar ' || LEFT(m.expected_ts::TEXT, 4)
        WHEN '0630' THEN 'Jun ' || LEFT(m.expected_ts::TEXT, 4)
        WHEN '0930' THEN 'Sep ' || LEFT(m.expected_ts::TEXT, 4)
        WHEN '1231' THEN 'Dec ' || LEFT(m.expected_ts::TEXT, 4)
        ELSE LEFT(m.expected_ts::TEXT, 4) || '-' || RIGHT(m.expected_ts::TEXT, 4) -- fallback
    END AS formatted_period,
    cp.market_cap, cp.industry,
    CASE 
        WHEN y.start_suffix &lt;&gt; y.end_suffix 
        THEN 'Change in Reporting Period'
        ELSE 'Consistent'
    END AS reporting_status
FROM missing m
JOIN years y
    ON m.stock_symbol = y.stock_symbol
LEFT JOIN company_profiles cp
    ON cp.stock_symbol = m.stock_symbol where cp.industry &lt;&gt; 'Insurance' and cp.active = 'true'
ORDER BY cp.market_cap desc</t>
  </si>
  <si>
    <t>23
1 with MC &gt; 1000</t>
  </si>
  <si>
    <t>Validation sql</t>
  </si>
  <si>
    <t>Waiting to update quarterly results</t>
  </si>
  <si>
    <t>SELECT
    cp.stock_symbol, cp.company_name,
    cp.market_cap
FROM company_profiles cp
WHERE NOT EXISTS (
    SELECT 1
    FROM profit_losses pl
    WHERE pl.stock_symbol = cp.stock_symbol
      AND pl.period = 'Quarterly'
      AND pl.date_header = 'Jun 2025'
) and industry &lt;&gt; 'Insurance' and cp.active = 'true' and cp.quote_date &gt; '12/01/2025'
ORDER BY cp.market_cap DESC;</t>
  </si>
  <si>
    <t>WITH expected_quarters AS (
    SELECT 'Jun 2025' AS date_header
    --UNION ALL
    --SELECT 'Sep 2025'
)
SELECT
    cp.stock_symbol,
    cp.market_cap,
    STRING_AGG(eq.date_header, ', ') AS missing_quarters,
    (cp.quote_date &gt;= TIMESTAMPTZ '2025-12-01 15:30:00+00') AS active
FROM company_profiles cp
JOIN profit_losses pl_mar
    ON pl_mar.stock_symbol = cp.stock_symbol
   AND pl_mar.period = 'Quarterly'
   AND pl_mar.date_header = 'Mar 2025'
LEFT JOIN expected_quarters eq
    ON NOT EXISTS (
        SELECT 1
        FROM profit_losses pl
        WHERE pl.stock_symbol = cp.stock_symbol
          AND pl.period = 'Quarterly'
          AND pl.date_header = eq.date_header
    )
WHERE cp.industry &lt;&gt; 'Insurance' 
GROUP BY
    cp.stock_symbol,
    cp.market_cap,
    cp.quote_date
HAVING COUNT(eq.date_header) &gt; 0
ORDER BY cp.market_cap DESC;</t>
  </si>
  <si>
    <t>March is present but June is missing</t>
  </si>
  <si>
    <t>March is present but June is missing. - Raw SQL need more udpate</t>
  </si>
  <si>
    <t xml:space="preserve">Get data row count in index_historical_quotes. </t>
  </si>
  <si>
    <t>SELECT 
    ss.stock_symbol,
    cp.market_cap,
    jsonb_agg(
        jsonb_build_object(
            'date_header', ss.date_header,
            'promoter_shareholding_percentage', ROUND(COALESCE((ss.axis_summaries::json -&gt; 'ShareholdingOfPromoterAndPromoterGroup' -&gt; 'aggregates' -&gt;&gt; 'ShareholdingAsAPercentageOfTotalNumberOfShares')::numeric, 0), 2),
            'public_shareholding_percentage', ROUND(COALESCE((ss.axis_summaries::json -&gt; 'PublicShareholding' -&gt; 'aggregates' -&gt;&gt; 'ShareholdingAsAPercentageOfTotalNumberOfShares')::numeric, 0), 2),
            'total_shareholding_percentage', ROUND(
                (
                    COALESCE((ss.axis_summaries::json -&gt; 'ShareholdingOfPromoterAndPromoterGroup' -&gt; 'aggregates' -&gt;&gt; 'ShareholdingAsAPercentageOfTotalNumberOfShares')::numeric, 0) +
                    COALESCE((ss.axis_summaries::json -&gt; 'PublicShareholding' -&gt; 'aggregates' -&gt;&gt; 'ShareholdingAsAPercentageOfTotalNumberOfShares')::numeric, 0)
                ),
                2
            ),
            'number_of_shares_in_crore', ROUND((COALESCE((ss.shareholding_pattern::json -&gt;&gt; 'NumberOfShares')::numeric, 0) / 10000000), 2),
            'number_of_shareholders', COALESCE((ss.shareholding_pattern::json -&gt;&gt; 'NumberOfShareholders')::numeric, 0),
            'indian', ROUND(COALESCE((ss.axis_summaries::json -&gt; 'ShareholdingOfPromoterAndPromoterGroup' -&gt; 'Indian' -&gt; 'aggregates' -&gt;&gt; 'ShareholdingAsAPercentageOfTotalNumberOfShares')::numeric, 0), 2),
            'foreign', ROUND(COALESCE((ss.axis_summaries::json -&gt; 'ShareholdingOfPromoterAndPromoterGroup' -&gt; 'Foreign' -&gt; 'aggregates' -&gt;&gt; 'ShareholdingAsAPercentageOfTotalNumberOfShares')::numeric, 0), 2),
            'institutions_domestic', ROUND(COALESCE((ss.axis_summaries::json -&gt; 'PublicShareholding' -&gt; 'InstitutionsDomestic' -&gt; 'aggregates' -&gt;&gt; 'ShareholdingAsAPercentageOfTotalNumberOfShares')::numeric, 0), 2),
            'institutions_foreign', ROUND(COALESCE((ss.axis_summaries::json -&gt; 'PublicShareholding' -&gt; 'InstitutionsForeign' -&gt; 'aggregates' -&gt;&gt; 'ShareholdingAsAPercentageOfTotalNumberOfShares')::numeric, 0), 2),
            'govt', ROUND(COALESCE((ss.axis_summaries::json -&gt; 'PublicShareholding' -&gt; 'Goverments' -&gt; 'aggregates' -&gt;&gt; 'ShareholdingAsAPercentageOfTotalNumberOfShares')::numeric, 0), 2),
            'non_institutions', ROUND(COALESCE((ss.axis_summaries::json -&gt; 'PublicShareholding' -&gt; 'NonInstitutions' -&gt; 'aggregates' -&gt;&gt; 'ShareholdingAsAPercentageOfTotalNumberOfShares')::numeric, 0), 2),
            'non_promoter_institutions', ROUND(COALESCE((ss.axis_summaries::json -&gt; 'SharesHeldByNonPromoterNonPublicShareholders' -&gt; 'SharesHeldByNonPromoterNonPublicShareholders' -&gt; 'aggregates' -&gt;&gt; 'ShareholdingAsAPercentageOfTotalNumberOfShares')::numeric, 0), 2),
            'total_shareholding_breakdown', ROUND(
                (
                    COALESCE((ss.axis_summaries::json -&gt; 'ShareholdingOfPromoterAndPromoterGroup' -&gt; 'Indian' -&gt; 'aggregates' -&gt;&gt; 'ShareholdingAsAPercentageOfTotalNumberOfShares')::numeric, 0) +
                    COALESCE((ss.axis_summaries::json -&gt; 'ShareholdingOfPromoterAndPromoterGroup' -&gt; 'Foreign' -&gt; 'aggregates' -&gt;&gt; 'ShareholdingAsAPercentageOfTotalNumberOfShares')::numeric, 0) +
                    COALESCE((ss.axis_summaries::json -&gt; 'PublicShareholding' -&gt; 'InstitutionsDomestic' -&gt; 'aggregates' -&gt;&gt; 'ShareholdingAsAPercentageOfTotalNumberOfShares')::numeric, 0) +
                    COALESCE((ss.axis_summaries::json -&gt; 'PublicShareholding' -&gt; 'InstitutionsForeign' -&gt; 'aggregates' -&gt;&gt; 'ShareholdingAsAPercentageOfTotalNumberOfShares')::numeric, 0) +
                    COALESCE((ss.axis_summaries::json -&gt; 'PublicShareholding' -&gt; 'Goverments' -&gt; 'aggregates' -&gt;&gt; 'ShareholdingAsAPercentageOfTotalNumberOfShares')::numeric, 0) +
                    COALESCE((ss.axis_summaries::json -&gt; 'PublicShareholding' -&gt; 'NonInstitutions' -&gt; 'aggregates' -&gt;&gt; 'ShareholdingAsAPercentageOfTotalNumberOfShares')::numeric, 0) +
                    COALESCE((ss.axis_summaries::json -&gt; 'SharesHeldByNonPromoterNonPublicShareholders' -&gt; 'SharesHeldByNonPromoterNonPublicShareholders' -&gt; 'aggregates' -&gt;&gt; 'ShareholdingAsAPercentageOfTotalNumberOfShares')::numeric, 0)
                ),
                2
            )
        )
        ORDER BY ss.date_header DESC
    ) AS shareholding_history
FROM public.shareholder_summaries ss
JOIN public.company_profiles cp
    ON cp.stock_symbol = ss.stock_symbol
WHERE 
    ROUND(
        (
            COALESCE((ss.axis_summaries::json -&gt; 'ShareholdingOfPromoterAndPromoterGroup' -&gt; 'Indian' -&gt; 'aggregates' -&gt;&gt; 'ShareholdingAsAPercentageOfTotalNumberOfShares')::numeric, 0) +
            COALESCE((ss.axis_summaries::json -&gt; 'ShareholdingOfPromoterAndPromoterGroup' -&gt; 'Foreign' -&gt; 'aggregates' -&gt;&gt; 'ShareholdingAsAPercentageOfTotalNumberOfShares')::numeric, 0) +
            COALESCE((ss.axis_summaries::json -&gt; 'PublicShareholding' -&gt; 'InstitutionsDomestic' -&gt; 'aggregates' -&gt;&gt; 'ShareholdingAsAPercentageOfTotalNumberOfShares')::numeric, 0) +
            COALESCE((ss.axis_summaries::json -&gt; 'PublicShareholding' -&gt; 'InstitutionsForeign' -&gt; 'aggregates' -&gt;&gt; 'ShareholdingAsAPercentageOfTotalNumberOfShares')::numeric, 0) +
            COALESCE((ss.axis_summaries::json -&gt; 'PublicShareholding' -&gt; 'Goverments' -&gt; 'aggregates' -&gt;&gt; 'ShareholdingAsAPercentageOfTotalNumberOfShares')::numeric, 0) +
            COALESCE((ss.axis_summaries::json -&gt; 'PublicShareholding' -&gt; 'NonInstitutions' -&gt; 'aggregates' -&gt;&gt; 'ShareholdingAsAPercentageOfTotalNumberOfShares')::numeric, 0) +
            COALESCE((ss.axis_summaries::json -&gt; 'SharesHeldByNonPromoterNonPublicShareholders' -&gt; 'SharesHeldByNonPromoterNonPublicShareholders' -&gt; 'aggregates' -&gt;&gt; 'ShareholdingAsAPercentageOfTotalNumberOfShares')::numeric, 0)
        ),
        2
    ) NOT BETWEEN 99 AND 101
GROUP BY 
    ss.stock_symbol,
    cp.market_cap order by cp.market_cap desc</t>
  </si>
  <si>
    <t xml:space="preserve">Company present in Company_profiles but missing in share_ownership_histories or share_ownerships. </t>
  </si>
  <si>
    <t>SELECT
    cp.stock_symbol,
    cp.market_cap,
    CASE
        WHEN NOT EXISTS (
            SELECT 1
            FROM share_ownerships so
            WHERE so.stock_symbol = cp.stock_symbol
        )
        AND NOT EXISTS (
            SELECT 1
            FROM share_ownership_histories soh
            WHERE soh.stock_symbol = cp.stock_symbol
        )
            THEN 'Missing in both'
        WHEN NOT EXISTS (
            SELECT 1
            FROM share_ownerships so
            WHERE so.stock_symbol = cp.stock_symbol
        )
            THEN 'Missing in share_ownerships'
        WHEN NOT EXISTS (
            SELECT 1
            FROM share_ownership_histories soh
            WHERE soh.stock_symbol = cp.stock_symbol
        )
            THEN 'Missing in share_ownership_histories'
    END AS missing_status
FROM company_profiles cp
WHERE
    cp.active = true
    AND (
        NOT EXISTS (
            SELECT 1 FROM share_ownerships so
            WHERE so.stock_symbol = cp.stock_symbol
        )
        OR NOT EXISTS (
            SELECT 1 FROM share_ownership_histories soh
            WHERE soh.stock_symbol = cp.stock_symbol
        )
    )
ORDER BY
    cp.market_cap DESC;</t>
  </si>
  <si>
    <t>1 - good</t>
  </si>
  <si>
    <t>Select * from utils.split_bonus_utils where ( numerator = '0' or denominator = '0')</t>
  </si>
  <si>
    <t>numerator = '0' or denominator = '0'</t>
  </si>
  <si>
    <t>High hare % incresse across rows</t>
  </si>
  <si>
    <t>SELECT DISTINCT
    soh.stock_symbol,
	soh.date_header,
    'Missing in share_ownerships' AS missing_from,
    cp.market_cap
FROM share_ownership_histories soh
LEFT JOIN company_profiles cp
    ON cp.stock_symbol = soh.stock_symbol
WHERE NOT EXISTS (
    SELECT 1
    FROM share_ownerships so
    WHERE so.stock_symbol = soh.stock_symbol
)
UNION
SELECT DISTINCT
    so.stock_symbol,
	so.date_header, 
    'Missing in share_ownership_histories' AS missing_from,
    cp.market_cap
FROM share_ownerships so
LEFT JOIN company_profiles cp
    ON cp.stock_symbol = so.stock_symbol
WHERE NOT EXISTS (
    SELECT 1
    FROM share_ownership_histories soh
    WHERE soh.stock_symbol = so.stock_symbol
)
ORDER BY missing_from, stock_symbol;</t>
  </si>
  <si>
    <t>Duplicate Records - share_ownership_histories</t>
  </si>
  <si>
    <t>WITH latest_split_bonus AS (
    SELECT DISTINCT ON (stock_symbol)
        stock_symbol,
        COALESCE(ex_date_override, ex_date) AS effective_ex_date,
        comments
    FROM utils.split_bonus_utils
    WHERE COALESCE(ex_date_override, ex_date) IS NOT NULL --and comments = ''
    ORDER BY
        stock_symbol,
        COALESCE(ex_date_override, ex_date) DESC
)
SELECT
    lsb.stock_symbol,
    cp.market_cap,
    lsb.effective_ex_date AS ex_date,
    ss.timestamp,
    ss.to_date,
	lsb.comments, 
    ss.shareholding_pattern
FROM latest_split_bonus lsb
JOIN shareholder_summaries ss
    ON lsb.stock_symbol = ss.stock_symbol
JOIN company_profiles cp
    ON lsb.stock_symbol = cp.stock_symbol
WHERE
    lsb.effective_ex_date &gt;= ss.to_date
    AND (
        (ss.shareholding_pattern::json -&gt;&gt; 'NumberOfShares')::BIGINT =
        (ss.shareholding_pattern::json -&gt;&gt; 'NumberOfSharesOriginal')::BIGINT
    )
ORDER BY
    cp.market_cap DESC;</t>
  </si>
  <si>
    <t>48 - May be newly listed companies</t>
  </si>
  <si>
    <t>Need to review 
4674</t>
  </si>
  <si>
    <t>Up to date as of now</t>
  </si>
  <si>
    <t>WITH ranked_quotes AS (
    SELECT
        dq.*,
        cp.company_name,
        cp.market_cap AS cp_market_cap,
        LAG(dq.open_price) OVER (
            PARTITION BY dq.stock_symbol 
            ORDER BY dq.quote_date DESC
        ) AS prev_open_price
    FROM daily_quotes dq
    JOIN company_profiles cp 
        ON cp.stock_symbol = dq.stock_symbol
    WHERE cp.market_cap &gt; 0
      AND dq.inactive = 'false'
	  AND cp.active = 'true'
      AND dq.quote_date &lt;&gt; '0001-01-01 00:00:00'
	  AND dq.quote_date &gt;= '2015-01-01 00:00:00'
	  AND dq.open_price &lt;&gt; '0'
),
pct_change AS (
    SELECT
        *,
        CASE 
            WHEN prev_open_price IS NULL OR prev_open_price = 0 THEN NULL
            ELSE ((open_price - prev_open_price) / prev_open_price) * 100
        END AS open_price_pct_change
    FROM ranked_quotes
)
SELECT
    stock_symbol,
    quote_date,
    ROUND(open_price, 2)              AS open_price,
    ROUND(prev_open_price, 2)         AS prev_open_price,
    ROUND(open_price_pct_change, 2)   AS open_price_pct_change,
    company_name,
    cp_market_cap
FROM pct_change
WHERE open_price_pct_change IS NOT NULL
  AND ABS(open_price_pct_change) &gt;= 25
ORDER BY open_price_pct_change DESC;</t>
  </si>
  <si>
    <t>WITH ranked_quotes AS (
    SELECT
        dq.*,
        cp.company_name,
        cp.market_cap AS cp_market_cap,
        LAG(dq.close_price) OVER (
            PARTITION BY dq.stock_symbol 
            ORDER BY dq.quote_date DESC
        ) AS prev_close_price
    FROM daily_quotes dq
    JOIN company_profiles cp 
        ON cp.stock_symbol = dq.stock_symbol
    WHERE cp.market_cap &gt; 0
      AND dq.inactive = 'false'
      AND dq.quote_date &lt;&gt; '0001-01-01 00:00:00'
      AND dq.quote_date &gt;= '2015-01-01 00:00:00'
      AND dq.close_price &lt;&gt; 0 and cp.active = 'true'
),
pct_change AS (
    SELECT
        *,
        CASE 
            WHEN prev_close_price IS NULL OR prev_close_price = 0 THEN NULL
            ELSE ((close_price - prev_close_price) / prev_close_price) * 100
        END AS close_price_pct_change
    FROM ranked_quotes
)
SELECT
    stock_symbol,
    quote_date,
    ROUND(close_price, 2)             AS close_price,
    ROUND(prev_close_price, 2)        AS prev_close_price,
    ROUND(close_price_pct_change, 2)  AS close_price_pct_change,
    company_name,
    cp_market_cap
FROM pct_change
WHERE close_price_pct_change IS NOT NULL
  AND ABS(close_price_pct_change) &gt;= 40
ORDER BY close_price_pct_change DESC;</t>
  </si>
  <si>
    <t>Issues</t>
  </si>
  <si>
    <t>Merger/de-merger
1 date missing update due to CA</t>
  </si>
  <si>
    <t>WITH ranked_quotes AS (
    SELECT
        dq.*,
        cp.company_name,
        cp.market_cap AS cp_market_cap,
        LAG(dq.close_price) OVER (
            PARTITION BY dq.stock_symbol
            ORDER BY dq.quote_date
        ) AS prev_close_price,
        LEAD(dq.close_price) OVER (
            PARTITION BY dq.stock_symbol
            ORDER BY dq.quote_date
        ) AS next_close_price
    FROM daily_quotes dq
    JOIN company_profiles cp 
        ON cp.stock_symbol = dq.stock_symbol
    WHERE cp.market_cap &gt; 0
      AND dq.inactive = 'false'
      AND dq.quote_date &lt;&gt; '0001-01-01 00:00:00'
      AND dq.quote_date &gt;= '2013-01-01 00:00:00'
      AND dq.close_price &lt;&gt; 0 and cp.active = 'true'
),
pct_change AS (
    SELECT
        *,
        CASE
            WHEN prev_close_price IS NULL OR prev_close_price = 0 THEN NULL
            ELSE ((close_price - prev_close_price) / prev_close_price) * 100
        END AS pct_change_prev,
        CASE
            WHEN next_close_price IS NULL OR close_price = 0 THEN NULL
            ELSE ((next_close_price - close_price) / close_price) * 100
        END AS pct_change_next
    FROM ranked_quotes
)
SELECT
    id,
    stock_symbol,
    quote_date,
    ROUND(close_price::numeric, 2)        AS close_price,
    ROUND(prev_close_price::numeric, 2)   AS prev_close_price,
    ROUND(next_close_price::numeric, 2)   AS next_close_price,
    ROUND(pct_change_prev::numeric, 2)    AS pct_change_prev,
    ROUND(pct_change_next::numeric, 2)    AS pct_change_next,
    company_name,
    cp_market_cap
FROM pct_change
WHERE
    (pct_change_prev IS NOT NULL AND ABS(pct_change_prev) &gt;= 30)
AND (pct_change_next IS NOT NULL AND ABS(pct_change_next) &gt;= 30)
ORDER BY stock_symbol, quote_date;</t>
  </si>
  <si>
    <t>WITH ranked_quotes AS (
    SELECT
        dq.*,
        cp.company_name,
        cp.market_cap AS cp_market_cap,
        LAG(dq.open_price) OVER (
            PARTITION BY dq.stock_symbol
            ORDER BY dq.quote_date
        ) AS prev_open_price,
        LEAD(dq.open_price) OVER (
            PARTITION BY dq.stock_symbol
            ORDER BY dq.quote_date
        ) AS next_open_price
    FROM daily_quotes dq
    JOIN company_profiles cp 
        ON cp.stock_symbol = dq.stock_symbol
    WHERE cp.market_cap &gt; 0
      AND dq.inactive = 'false'
      AND dq.quote_date &lt;&gt; '0001-01-01 00:00:00'
      AND dq.quote_date &gt;= '2013-01-01 00:00:00'
      AND dq.open_price &lt;&gt; 0 and cp.active = 'true'
),
pct_change AS (
    SELECT
        *,
        CASE
            WHEN prev_open_price IS NULL OR prev_open_price = 0 THEN NULL
            ELSE ((open_price - prev_open_price) / prev_open_price) * 100
        END AS pct_change_prev,
        CASE
            WHEN next_open_price IS NULL OR open_price = 0 THEN NULL
            ELSE ((next_open_price - open_price) / open_price) * 100
        END AS pct_change_next
    FROM ranked_quotes
)
SELECT
	Id,
    stock_symbol,
    quote_date,
    ROUND(open_price::numeric, 2)         AS open_price,
    ROUND(prev_open_price::numeric, 2)    AS prev_open_price,
    ROUND(next_open_price::numeric, 2)    AS next_open_price,
    ROUND(pct_change_prev::numeric, 2)    AS pct_change_prev,
    ROUND(pct_change_next::numeric, 2)    AS pct_change_next,
    company_name,
    cp_market_cap
FROM pct_change
WHERE
    (pct_change_prev IS NOT NULL AND ABS(pct_change_prev) &gt;= 50)
 AND (pct_change_next IS NOT NULL AND ABS(pct_change_next) &gt;= 50)
ORDER BY stock_symbol, quote_date;</t>
  </si>
  <si>
    <t>stock_symbol</t>
  </si>
  <si>
    <t>period</t>
  </si>
  <si>
    <t>date_header</t>
  </si>
  <si>
    <t>Statement Type</t>
  </si>
  <si>
    <t>Multiplier</t>
  </si>
  <si>
    <t>balance_sheets</t>
  </si>
  <si>
    <t>WITH bs_enriched AS (
    SELECT
        bs.stock_symbol,
        bs.period,
        bs.date_header,
        bs.timestamp,
        cp.market_cap,
        (bs.consolidated_json -&gt;&gt; 'Assets')::numeric AS assets,
        LAG((bs.consolidated_json -&gt;&gt; 'Assets')::numeric)
            OVER (PARTITION BY bs.stock_symbol ORDER BY bs.timestamp) AS prev_assets,
        LEAD((bs.consolidated_json -&gt;&gt; 'Assets')::numeric)
            OVER (PARTITION BY bs.stock_symbol ORDER BY bs.timestamp) AS next_assets
    FROM balance_sheets bs
    JOIN company_profiles cp
        ON bs.stock_symbol = cp.stock_symbol
    WHERE bs.period = 'Annual'
)
SELECT
    stock_symbol,
    period,
    date_header,
    market_cap,
    assets,
    prev_assets,
    next_assets,
    -- % difference vs previous (rounded)
    ROUND(
        ((assets - prev_assets) / NULLIF(prev_assets, 0)) * 100,
        0
    ) AS pct_diff_prev,
    -- % difference vs next (rounded)
    ROUND(
        ((assets - next_assets) / NULLIF(next_assets, 0)) * 100,
        0
    ) AS pct_diff_next
FROM bs_enriched
WHERE prev_assets IS NOT NULL
  AND next_assets IS NOT NULL
  -- check only when abs % diff is &gt;= 100% with BOTH sides
  AND ABS((assets - prev_assets) / NULLIF(prev_assets, 0)) &gt;= 1
  AND ABS((assets - next_assets) / NULLIF(next_assets, 0)) &gt;= 1
ORDER BY pct_diff_prev DESC, timestamp DESC;</t>
  </si>
  <si>
    <t>Profit and Losses</t>
  </si>
  <si>
    <t>WITH bs_enriched AS (
    SELECT
        bs.stock_symbol,
        bs.period,
        bs.date_header,
        bs.timestamp,
        cp.market_cap,
	    (bs.standalone_json -&gt;&gt; 'Income')::numeric AS assets,
        (bs.standalone_json -&gt;&gt; 'CalculatedEPS')::numeric AS CalculatedEPS,
        LAG((bs.standalone_json -&gt;&gt; 'Income')::numeric)
            OVER (PARTITION BY bs.stock_symbol ORDER BY bs.timestamp) AS prev_assets,
        LEAD((bs.standalone_json -&gt;&gt; 'Income')::numeric)
            OVER (PARTITION BY bs.stock_symbol ORDER BY bs.timestamp) AS next_assets
    FROM profit_losses bs
    JOIN company_profiles cp
        ON bs.stock_symbol = cp.stock_symbol
    WHERE bs.period = 'Annual'
)
SELECT
    stock_symbol,
    period,
    date_header,
    market_cap,
	CalculatedEPS,
    assets,
    prev_assets,
    next_assets,
    -- % difference vs previous (rounded)
    ROUND(
        ((assets - prev_assets) / NULLIF(prev_assets, 0)) * 100,
        0
    ) AS pct_diff_prev,
    -- % difference vs next (rounded)
    ROUND(
        ((assets - next_assets) / NULLIF(next_assets, 0)) * 100,
        0
    ) AS pct_diff_next
FROM bs_enriched
WHERE prev_assets IS NOT NULL
  AND next_assets IS NOT NULL
  -- check only when abs % diff is &gt;= 100% with BOTH sides
  AND ABS((assets - prev_assets) / NULLIF(prev_assets, 0)) &gt;= 1
  AND ABS((assets - next_assets) / NULLIF(next_assets, 0)) &gt;= 1
ORDER BY pct_diff_prev DESC, timestamp DESC;</t>
  </si>
  <si>
    <t>WITH bs_enriched AS (
    SELECT
        bs.stock_symbol,
        bs.period,
        bs.date_header,
        bs.timestamp,
        cp.market_cap,
	    (bs.consolidated_json -&gt;&gt; 'Income')::numeric AS assets,
        (bs.consolidated_json -&gt;&gt; 'CalculatedEPS')::numeric AS CalculatedEPS,
        LAG((bs.consolidated_json -&gt;&gt; 'Income')::numeric)
            OVER (PARTITION BY bs.stock_symbol ORDER BY bs.timestamp) AS prev_assets,
        LEAD((bs.consolidated_json -&gt;&gt; 'Income')::numeric)
            OVER (PARTITION BY bs.stock_symbol ORDER BY bs.timestamp) AS next_assets
    FROM profit_losses bs
    JOIN company_profiles cp
        ON bs.stock_symbol = cp.stock_symbol
    WHERE bs.period = 'Annual'
)
SELECT
    stock_symbol,
    period,
    date_header,
    market_cap,
	CalculatedEPS,
    assets,
    prev_assets,
    next_assets,
    -- % difference vs previous (rounded)
    ROUND(
        ((assets - prev_assets) / NULLIF(prev_assets, 0)) * 100,
        0
    ) AS pct_diff_prev,
    -- % difference vs next (rounded)
    ROUND(
        ((assets - next_assets) / NULLIF(next_assets, 0)) * 100,
        0
    ) AS pct_diff_next
FROM bs_enriched
WHERE prev_assets IS NOT NULL
  AND next_assets IS NOT NULL
  -- check only when abs % diff is &gt;= 100% with BOTH sides
  AND ABS((assets - prev_assets) / NULLIF(prev_assets, 0)) &gt;= 1
  AND ABS((assets - next_assets) / NULLIF(next_assets, 0)) &gt;= 1
ORDER BY pct_diff_prev DESC, timestamp DESC;</t>
  </si>
  <si>
    <t>WITH target_dates AS (
    SELECT unnest(ARRAY['Sep 2025', 'Jun 2025', 'Mar 2025']) AS date_header
),
missing_quarterly AS (
    SELECT 
        cp.stock_symbol,
        cp.market_cap,
        td.date_header
    FROM company_profiles cp
    CROSS JOIN target_dates td
    LEFT JOIN profit_losses pl
        ON pl.stock_symbol = cp.stock_symbol
        AND pl.period = 'Quarterly'
        AND pl.date_header = td.date_header
    WHERE pl.stock_symbol IS NULL
      AND cp.quote_date &gt; '2026-01-01 15:30:00+00'
      AND cp.active = 'true'
),
has_dec2024 AS (
    SELECT DISTINCT stock_symbol
    FROM profit_losses
    WHERE period = 'Quarterly'
      AND date_header = 'Dec 2024'
)
SELECT 
    mq.stock_symbol,
    STRING_AGG(mq.date_header, ', ' ORDER BY mq.date_header DESC) AS missing_dates,
    'Missing Quarterly' AS status,
    mq.market_cap
FROM missing_quarterly mq
JOIN has_dec2024 d24
    ON mq.stock_symbol = d24.stock_symbol
GROUP BY mq.stock_symbol, mq.market_cap
ORDER BY mq.market_cap DESC;</t>
  </si>
  <si>
    <t>Quarterly - Profit &amp; Loss</t>
  </si>
  <si>
    <t>WITH target_dates AS (
    SELECT unnest(ARRAY['Mar 2025']) AS date_header
),
missing_annual AS (
    SELECT 
        cp.stock_symbol,
        cp.market_cap,
        td.date_header
    FROM company_profiles cp
    CROSS JOIN target_dates td
    LEFT JOIN profit_losses pl
        ON pl.stock_symbol = cp.stock_symbol
        AND pl.period = 'Annual'
        AND pl.date_header = td.date_header
    WHERE pl.stock_symbol IS NULL
      AND cp.quote_date &gt; '2026-01-01 15:30:00+00'
      AND cp.active = 'true'
),
has_dec2024 AS (
    SELECT DISTINCT stock_symbol
    FROM profit_losses
    WHERE period = 'Annual'
      AND date_header = 'Mar 2024'
)
SELECT 
    mq.stock_symbol,
    STRING_AGG(mq.date_header, ', ' ORDER BY mq.date_header DESC) AS missing_dates,
    'Missing Annual' AS status,
    mq.market_cap
FROM missing_annual mq
JOIN has_dec2024 d24
    ON mq.stock_symbol = d24.stock_symbol
GROUP BY mq.stock_symbol, mq.market_cap
ORDER BY mq.market_cap DESC;</t>
  </si>
  <si>
    <t>Annual - Profit &amp; Loss</t>
  </si>
  <si>
    <t>Result date is passed but entry is not available in P&amp;L table</t>
  </si>
  <si>
    <r>
      <t xml:space="preserve">Results present for one quarter but missing later
</t>
    </r>
    <r>
      <rPr>
        <sz val="12"/>
        <color rgb="FFFF0000"/>
        <rFont val="Aptos Narrow (Body)"/>
      </rPr>
      <t>101</t>
    </r>
  </si>
  <si>
    <t>WITH latest_sbu AS (
    SELECT
        stock_symbol,
        MAX(ex_date) AS ex_date
    FROM utils.split_bonus_utils
    WHERE corp_action &lt;&gt; 'NK'
      AND ex_date IS NOT NULL
    GROUP BY stock_symbol
),
violations AS (
    SELECT
        ls.stock_symbol,
        cp.market_cap,
        ls.ex_date,
        MAX(dq.quote_date)  AS violating_quote_date,
        MAX(dq.updated_at)  AS violating_updated_at
    FROM latest_sbu ls
    JOIN company_profiles cp
        ON cp.stock_symbol = ls.stock_symbol
    JOIN daily_quotes dq
        ON dq.stock_symbol = ls.stock_symbol
    WHERE dq.quote_date &lt;= ls.ex_date
      AND dq.updated_at &lt; ls.ex_date
      AND dq.quote_date &gt; '2010-01-01'
    GROUP BY
        ls.stock_symbol,
        cp.market_cap,
        ls.ex_date
)
SELECT *
FROM violations
ORDER BY market_cap DESC;</t>
  </si>
  <si>
    <t xml:space="preserve">This SQL ensures price adjustment is applied for Split/Bonus and Rights. </t>
  </si>
  <si>
    <t>SELECT 
    im.index_symbol, im.exchange, im.index_name, im.active, im.id,
    COUNT(ihq.index_symbol) AS historical_rows
FROM public.index_masters im
LEFT JOIN public.index_historical_quotes ihq
    ON im.index_symbol = ihq.index_symbol where im.exchange = 'NSE' and im.active = 'true'
GROUP BY im.index_symbol, im.exchange, im.index_name, im.active, im.id
ORDER BY historical_rows desc;</t>
  </si>
  <si>
    <t>Daily tasks are running - check</t>
  </si>
  <si>
    <t>7-Day Job Audit Report</t>
  </si>
  <si>
    <t>5-0</t>
  </si>
  <si>
    <t>WITH base AS (
    SELECT
        pl.stock_symbol,
        pl.date_header,
        pl.period,
        -- Extract values
        CAST(pl.consolidated_json-&gt;&gt;'ProfitLossForPeriodForEPS' AS NUMERIC) AS profit_loss_eps,
        CAST(pl.consolidated_json-&gt;&gt;'CalculatedEPS' AS NUMERIC) AS calculated_eps,
        ROUND(CAST(pl.consolidated_json-&gt;&gt;'AdjustedDilutedEPS' AS NUMERIC), 2) AS adjusted_diluted_eps,
        ROUND(CAST(pl.consolidated_json-&gt;&gt;'AdjustedEPS' AS NUMERIC), 2) AS adjusted_eps,
        CAST(sh.shareholding_pattern-&gt;&gt;'NumberOfShares' AS NUMERIC) AS number_of_shares,
        cp.market_cap
    FROM profit_losses pl
    JOIN shareholder_summaries sh 
        ON pl.stock_symbol = sh.stock_symbol
       AND pl.date_header = sh.date_header
    JOIN company_profiles cp
        ON pl.stock_symbol = cp.stock_symbol
    WHERE pl.date_header &lt;&gt; 'TTM'
)
SELECT
    b.stock_symbol,
    b.date_header,
    b.period,
    b.profit_loss_eps,
    b.calculated_eps,
    b.adjusted_eps,
    b.adjusted_diluted_eps,
    b.number_of_shares,
    b.market_cap,
    -- % difference between adjusted and calculated EPS
    ROUND(
        ((b.adjusted_eps - b.calculated_eps) / NULLIF(b.calculated_eps, 0)) * 100,
        2
    ) AS percent_diff_adjusted,
    -- % difference between adjusted diluted and calculated EPS
    ROUND(
        ((b.adjusted_diluted_eps - b.calculated_eps) / NULLIF(b.calculated_eps, 0)) * 100,
        2
    ) AS percent_diff_diluted,
    -- Check if rounded CalculatedEPS/100000 equals AdjustedDilutedEPS
    CASE 
        WHEN b.adjusted_diluted_eps = 0 THEN NULL
        WHEN ROUND(b.calculated_eps / 100000, 2) = b.adjusted_diluted_eps THEN TRUE
        ELSE FALSE
    END AS is_scaled_match
FROM base b
JOIN utils.split_bonus_utils sbu
    ON b.stock_symbol = sbu.stock_symbol
   AND sbu.corp_action NOT IN ('Bonus', 'Split', 'Rights')
WHERE 
    (ABS((b.adjusted_eps - b.calculated_eps) / NULLIF(b.calculated_eps, 0) * 100) &gt; 10
    OR ABS((b.adjusted_diluted_eps - b.calculated_eps) / NULLIF(b.calculated_eps, 0) * 100) &gt; 10)
    AND ABS((b.adjusted_eps - b.calculated_eps) / NULLIF(b.calculated_eps, 0) * 100) &gt;= 10
    AND ABS((b.adjusted_diluted_eps - b.calculated_eps) / NULLIF(b.calculated_eps, 0) * 100) &gt;= 10
ORDER BY b.profit_loss_eps DESC;</t>
  </si>
  <si>
    <t>Override Update SQL</t>
  </si>
  <si>
    <t>UPDATE balance_sheets
SET consolidated_overrides = jsonb_build_object(
    'Equity', 
    COALESCE((consolidated_json-&gt;&gt;'Equity')::numeric, 0) + 
    COALESCE((consolidated_json-&gt;&gt;'NonControllingInterest')::numeric, 0)
)
WHERE (stock_symbol = '543597' AND id IN (17528, 55337, 55329))
   OR (stock_symbol = '544296' AND id IN (55501, 55287, 65579))
   OR (stock_symbol = '543616' AND id IN (53357, 23134, 23144))
   OR (stock_symbol = '544023' AND id = 64706)
   OR (stock_symbol = '543244' AND id IN (31735, 31734, 64929, 64928, 64927, 52866, 31769, 31733))
   OR (stock_symbol = 'GENSOL' AND id IN (11245, 11244, 11246, 11247))
   OR (stock_symbol = '543622' AND id IN (25952, 65893, 52900))
   OR (stock_symbol = '542145' AND id IN (36719, 65890, 53002))
   OR (stock_symbol = '543546' AND id IN (50940, 27359, 27358, 52844))
   OR (stock_symbol = '543461' AND id IN (31930, 31978, 65899))
   OR (stock_symbol = '543519' AND id IN (52957, 55286))
   OR (stock_symbol = '538496' AND id = 40823)
   OR (stock_symbol = '542592' AND id IN (34283, 34279, 34280, 34282, 65874, 52304))
   OR (stock_symbol = '532745' AND id = 42496);</t>
  </si>
  <si>
    <t>UPDATE profit_losses
SET standalone_overrides = 
    CASE id
        WHEN 45152 THEN '{"ProfitLossForPeriod": 61053000, "ProfitLossForPeriodForEPS": 61053000}'::jsonb
        WHEN 74226 THEN '{"ProfitLossForPeriod": 34671000, "ProfitLossForPeriodForEPS": 34671000}'::jsonb
        WHEN 75071 THEN '{"ProfitLossForPeriod": 101976000, "ProfitLossForPeriodForEPS": 101976000}'::jsonb
        WHEN 74827 THEN '{"ProfitLossForPeriod": 21232000, "ProfitLossForPeriodForEPS": 21232000}'::jsonb
        WHEN 75106 THEN '{"ProfitLossForPeriod": 41454000, "ProfitLossForPeriodForEPS": 41454000}'::jsonb
        WHEN 76217 THEN '{"ProfitLossForPeriod": 67950000, "ProfitLossForPeriodForEPS": 67950000}'::jsonb
        WHEN 75741 THEN '{"ProfitLossForPeriod": -16027000, "ProfitLossForPeriodForEPS": -16027000}'::jsonb
        WHEN 154145 THEN '{"ProfitLossForPeriod": -2222875000, "ProfitLossForPeriodForEPS": -2222875000}'::jsonb
        WHEN 125246 THEN '{"ProfitLossForPeriod": 15247000, "ProfitLossForPeriodForEPS": 15247000}'::jsonb
        WHEN 91077 THEN '{"ProfitLossForPeriod": 10692000, "ProfitLossForPeriodForEPS": 10692000}'::jsonb
        WHEN 88407 THEN '{"ProfitLossForPeriod": 116039000, "ProfitLossForPeriodForEPS": 116039000}'::jsonb
        WHEN 102599 THEN '{"ProfitLossForPeriod": 11752000, "ProfitLossForPeriodForEPS": 11752000}'::jsonb
    END
WHERE id IN (45152, 74226, 75071, 74827, 75106, 76217, 75741, 154145, 125246, 91077, 88407, 102599);</t>
  </si>
  <si>
    <t>Standalone SQL</t>
  </si>
  <si>
    <t>SELECT 
    stock_symbol,
    period,
    date_header,
    standalone_json,
    standalone_overrides
FROM (
    SELECT stock_symbol, period, date_header, standalone_json, standalone_overrides
    FROM balance_sheets
    WHERE (stock_symbol = 'INDOUS' AND period = 'Annual' AND date_header IN ('Mar 2019', 'Mar 2020'))
       OR (stock_symbol = '543171' AND period = 'Annual' AND date_header = 'Mar 2024')
       OR (stock_symbol = '531168' AND period = 'Annual' AND date_header = 'Mar 2023')
       OR (stock_symbol = '534338' AND period = 'Annual' AND date_header = 'Mar 2020')
       OR (stock_symbol = '534338' AND period = 'Quarterly' AND date_header = 'Sep 2021')
       OR (stock_symbol = 'SVPGLOB' AND period = 'Annual' AND date_header IN ('Mar 2019', 'Mar 2021'))
       OR (stock_symbol = '539273' AND period = 'Annual' AND date_header = 'Mar 2019')
       OR (stock_symbol = '535279' AND period = 'Annual' AND date_header = 'Sep 2019')
       OR (stock_symbol = '512063' AND period = 'Annual' AND date_header = 'Mar 2022')
       OR (stock_symbol = '511634' AND period = 'Annual' AND date_header = 'Mar 2024')
       OR (stock_symbol = '511734' AND period = 'Annual' AND date_header IN ('Mar 2019', 'Mar 2021'))
       OR (stock_symbol = '530683' AND period = 'Annual' AND date_header IN ('Mar 2022', 'Mar 2023'))
    UNION ALL
    SELECT stock_symbol, period, date_header, standalone_json, standalone_overrides
    FROM profit_losses
    WHERE (stock_symbol = 'INDOUS' AND period = 'Annual' AND date_header IN ('Mar 2019', 'Mar 2020'))
       OR (stock_symbol = '535279' AND period = 'Annual' AND date_header = 'Sep 2019')
       OR (stock_symbol = '530683' AND period = 'Annual' AND date_header = 'Mar 2022')
       OR (stock_symbol = '530683' AND period = 'Quarterly' AND date_header = 'Mar 2022')
    UNION ALL
    SELECT stock_symbol, period, date_header, standalone_json, standalone_overrides
    FROM cash_flows
    WHERE (stock_symbol = '531168' AND period = 'Annual' AND date_header = 'Mar 2023')
       OR (stock_symbol = '530683' AND period = 'Annual' AND date_header = 'Mar 2022')
) AS standalone_data
ORDER BY stock_symbol, period, date_header;</t>
  </si>
  <si>
    <t>Consolidated SQL</t>
  </si>
  <si>
    <t>SELECT 
    stock_symbol,
    period,
    date_header,
    consolidated_json,
    consolidated_overrides
FROM balance_sheets
WHERE (stock_symbol = '534338' AND period = 'Annual' AND date_header IN ('Mar 2020', 'Mar 2021'))
   OR (stock_symbol = '534338' AND period = 'Quarterly' AND date_header IN ('Sep 2020', 'Sep 2021'))
ORDER BY stock_symbol, period, date_header;</t>
  </si>
  <si>
    <t>JSON</t>
  </si>
  <si>
    <t>[
  {
    "date_header": "Sep 2019",
    "financials": "profit_losses",
    "multiplier": -5,
    "period": "Annual",
    "statement_type": "Standalone",
    "stock_symbol": "540416"
  },
  {
    "date_header": "Sep 2019",
    "financials": "profit_losses",
    "multiplier": -5,
    "period": "Annual",
    "statement_type": "Consolidated",
    "stock_symbol": "540416"
  },
  {
    "date_header": "Sep 2019",
    "financials": "balance_sheets",
    "multiplier": -5,
    "period": "Annual",
    "statement_type": "Standalone",
    "stock_symbol": "540416"
  },
  {
    "date_header": "Sep 2019",
    "financials": "balance_sheets",
    "multiplier": -5,
    "period": "Annual",
    "statement_type": "Consolidated",
    "stock_symbol": "540416"
  }
]</t>
  </si>
  <si>
    <t>Check with EPS SQL as well</t>
  </si>
  <si>
    <t>WITH audit AS (
    -- Utils schema
    SELECT 'user_profiles' AS table_name, MAX(last_updated_at) AS last_updated_at FROM "user".user_profiles
    UNION ALL
    SELECT 'company_exchange_data' AS table_name, MAX(updated_at) AS last_updated_at FROM utils.company_exchange_data
    UNION ALL
    SELECT 'company_exchange_xbrls', MAX(updated_at) FROM utils.company_exchange_xbrls
    UNION ALL
    SELECT 'corp_announcements', MAX(updated_at) FROM utils.corp_announcements
    UNION ALL
    SELECT 'dividend_utils', MAX(updated_at) FROM utils.dividend_utils
    UNION ALL
    SELECT 'split_bonus_utils', MAX(updated_at) FROM utils.split_bonus_utils
    -- Financial statements
    UNION ALL
    SELECT 'balance_sheets', MAX(updated_at) FROM balance_sheets
    UNION ALL
    SELECT 'cash_flows', MAX(updated_at) FROM cash_flows
    UNION ALL
    SELECT 'profit_losses', MAX(updated_at) FROM profit_losses
    UNION ALL
    SELECT 'segment_revenues', MAX(updated_at) FROM segment_revenues
    -- Ratios
    UNION ALL
    SELECT 'historical_ratios', MAX(updated_at) FROM historical_ratios
    UNION ALL
    SELECT 'master_ratios', MAX(updated_at) FROM master_ratios
    -- Company / ownership
    UNION ALL
    SELECT 'company_profiles', MAX(updated_at) FROM company_profiles
    UNION ALL
    SELECT 'share_ownerships', MAX(updated_at) FROM share_ownerships
    UNION ALL
    SELECT 'share_ownership_histories', MAX(updated_at) FROM share_ownership_histories
    UNION ALL
    SELECT 'shareholders', MAX(updated_at) FROM shareholders
    UNION ALL
    SELECT 'shareholder_summaries', MAX(updated_at) FROM shareholder_summaries
    UNION ALL
    SELECT 'shareholder_normalized_names', MAX(updated_at) FROM shareholder_normalized_names
    -- Quotes &amp; indexes
    UNION ALL
    SELECT 'daily_quotes', MAX(updated_at) FROM daily_quotes
    UNION ALL
    SELECT 'yearly_historical_quotes', MAX(updated_at) FROM yearly_historical_quotes
    UNION ALL
    SELECT 'index_historical_quotes', MAX(updated_at) FROM index_historical_quotes
    UNION ALL
    SELECT 'index_masters', MAX(updated_at) FROM index_masters
    -- Dividends
    UNION ALL
    SELECT 'yearly_dividends', MAX(updated_at) FROM yearly_dividends
    -- Commodities
    UNION ALL
    SELECT 'commodities_calendars', MAX(updated_at) FROM commodities_calendars
    UNION ALL
    SELECT 'commodity_indexes', MAX(updated_at) FROM commodity_indexes
    UNION ALL
    SELECT 'commodity_types', MAX(updated_at) FROM commodity_types
    -- Misc
    UNION ALL
    SELECT 'generic_data', MAX(updated_at) FROM generic_data
    UNION ALL
    SELECT 'trading_holiday_calendars', MAX(updated_at) FROM trading_holiday_calendars
)
SELECT
    table_name,
    last_updated_at,
    CASE
        WHEN last_updated_at::date = CURRENT_DATE THEN 'OK'
        WHEN last_updated_at IS NULL THEN 'NO DATA'
        ELSE
            'Updated ' ||
            (CURRENT_DATE - last_updated_at::date) ||
            ' days back'
    END AS job_status
FROM audit
ORDER BY last_updated_at DESC NULLS LAST, table_name;</t>
  </si>
  <si>
    <t>SELECT DISTINCT 
    c.stock_symbol,
    cp.company_name,
    cp.market_cap,
    c.bse_q_result_date,
    c.nse_q_result_date
FROM utils.company_exchange_data c
INNER JOIN company_profiles cp ON c.stock_symbol = cp.stock_symbol
WHERE 
    -- Result date should be between Jan 1, 2026 and today
    (
        (c.bse_q_result_date &gt; '2026-01-01' AND c.bse_q_result_date &lt;= CURRENT_DATE-1) -- Change here 
        OR 
        (c.nse_q_result_date &gt; '2026-01-01' AND c.nse_q_result_date &lt;= CURRENT_DATE-1) -- Change here 
    )
    -- But no Dec 2025 quarterly record exists in profit_losses
    AND NOT EXISTS (
        SELECT 1 
        FROM profit_losses pl 
        WHERE pl.stock_symbol = c.stock_symbol 
        AND pl.date_header = 'Dec 2025' -- Change quarter here 
        AND pl.period = 'Quarterly'
    )
	AND cp.quote_date &gt; CURRENT_DATE - 10
	AND cp.active = 'true'
ORDER BY c.bse_q_result_date, c.nse_q_result_date DESC;</t>
  </si>
  <si>
    <t>WITH bs_enriched AS (
    SELECT
        bs.stock_symbol,
        bs.period,
        bs.date_header,
        bs.timestamp,
        cp.market_cap,
        (bs.standalone_json -&gt;&gt; 'CashFlowsFromUsedInOperatingActivities')::numeric AS CFO,
        LAG((bs.standalone_json -&gt;&gt; 'CashFlowsFromUsedInOperatingActivities')::numeric)
            OVER (PARTITION BY bs.stock_symbol ORDER BY bs.timestamp) AS prev_cfo,
        LEAD((bs.standalone_json -&gt;&gt; 'CashFlowsFromUsedInOperatingActivities')::numeric)
            OVER (PARTITION BY bs.stock_symbol ORDER BY bs.timestamp) AS next_cfo
    FROM cash_flows bs
    JOIN company_profiles cp
        ON bs.stock_symbol = cp.stock_symbol
    WHERE bs.period = 'Annual'
)
SELECT
    stock_symbol,
    period,
    date_header,
    market_cap,
    cfo,
    prev_cfo,
    next_cfo,
    -- % difference vs previous (rounded)
    ROUND(
        ((cfo - prev_cfo) / NULLIF(prev_cfo, 0)) * 100,
        0
    ) AS pct_diff_prev,
    -- % difference vs next (rounded)
    ROUND(
        ((cfo - next_cfo) / NULLIF(next_cfo, 0)) * 100,
        0
    ) AS pct_diff_next
FROM bs_enriched
WHERE prev_cfo IS NOT NULL
  AND next_cfo IS NOT NULL
  -- check only when abs % diff is &gt;= 100% with BOTH sides
  AND ABS((cfo - prev_cfo) / NULLIF(prev_cfo, 0)) &gt;= 1
  AND ABS((cfo - next_cfo) / NULLIF(next_cfo, 0)) &gt;= 1
ORDER BY pct_diff_prev DESC, timestamp DESC;</t>
  </si>
  <si>
    <t>WITH bs_enriched AS (
    SELECT
        bs.stock_symbol,
        bs.period,
        bs.date_header,
        bs.timestamp,
        cp.market_cap,
        (bs.consolidated_json -&gt;&gt; 'CashFlowsFromUsedInOperatingActivities')::numeric AS CFO,
        LAG((bs.consolidated_json -&gt;&gt; 'CashFlowsFromUsedInOperatingActivities')::numeric)
            OVER (PARTITION BY bs.stock_symbol ORDER BY bs.timestamp) AS prev_cfo,
        LEAD((bs.consolidated_json -&gt;&gt; 'CashFlowsFromUsedInOperatingActivities')::numeric)
            OVER (PARTITION BY bs.stock_symbol ORDER BY bs.timestamp) AS next_cfo
    FROM cash_flows bs
    JOIN company_profiles cp
        ON bs.stock_symbol = cp.stock_symbol
    WHERE bs.period = 'Annual'
)
SELECT
    stock_symbol,
    period,
    date_header,
    market_cap,
    cfo,
    prev_cfo,
    next_cfo,
    -- % difference vs previous (rounded)
    ROUND(
        ((cfo - prev_cfo) / NULLIF(prev_cfo, 0)) * 100,
        0
    ) AS pct_diff_prev,
    -- % difference vs next (rounded)
    ROUND(
        ((cfo - next_cfo) / NULLIF(next_cfo, 0)) * 100,
        0
    ) AS pct_diff_next
FROM bs_enriched
WHERE prev_cfo IS NOT NULL
  AND next_cfo IS NOT NULL
  -- check only when abs % diff is &gt;= 100% with BOTH sides
  AND ABS((cfo - prev_cfo) / NULLIF(prev_cfo, 0)) &gt;= 1
  AND ABS((cfo - next_cfo) / NULLIF(next_cfo, 0)) &gt;= 1
ORDER BY pct_diff_prev DESC, timestamp DESC;</t>
  </si>
  <si>
    <t>shareholder_summaries</t>
  </si>
  <si>
    <t>Result date is passed but entry is not available in shareholder_summaries table</t>
  </si>
  <si>
    <t>SELECT DISTINCT 
    c.stock_symbol,
    cp.company_name,
    cp.market_cap,
    c.bse_q_result_date,
    c.nse_q_result_date
FROM utils.company_exchange_data c
INNER JOIN company_profiles cp 
    ON c.stock_symbol = cp.stock_symbol
WHERE 
    (
        (c.bse_q_result_date &gt; '2026-01-01' AND c.bse_q_result_date &lt;= CURRENT_DATE - 1)
        OR 
        (c.nse_q_result_date &gt; '2026-01-01' AND c.nse_q_result_date &lt;= CURRENT_DATE - 1)
    )
    -- No record exists in shareholder_summaries
    AND NOT EXISTS (
        SELECT 1
        FROM shareholder_summaries ss
        WHERE ss.stock_symbol = c.stock_symbol AND ss.date_header = 'Dec 2025'
    )
    AND cp.quote_date &gt; CURRENT_DATE - 10
	--AND cp.company_name ilike '%insu%'
    AND cp.active = 'true'
ORDER BY 
    c.bse_q_result_date,
    c.nse_q_result_date DESC;</t>
  </si>
  <si>
    <t>SELECT t.*,
       cp.company_type,
       cp.market_cap
FROM (
    SELECT *,
           COUNT(*) OVER (
               PARTITION BY stock_symbol, numerator, denominator, ex_date
           ) AS dup_cnt
    FROM utils.split_bonus_utils
) t
INNER JOIN company_profiles cp
    ON t.stock_symbol = cp.stock_symbol
WHERE t.dup_cnt &gt; 1 and cp.company_type = 'SME'
ORDER BY t.stock_symbol, t.ex_date, t.numerator, t.denominator, t.id;</t>
  </si>
  <si>
    <t>Duplicate in corporate action - v2</t>
  </si>
  <si>
    <t>SELECT * FROM public.index_historical_quotes where index_symbol = 'NIF50' order by timestamp desc</t>
  </si>
  <si>
    <t>Insurance BS balancing</t>
  </si>
  <si>
    <t>SELECT
    bs.stock_symbol,
    bs.period,
	bs.date_header, 
    cp.market_cap,
    /* ================= Equity ================= */
    (bs.standalone_json -&gt;&gt; 'Equity')::numeric AS equity_reported,
    (
        COALESCE((bs.standalone_json -&gt;&gt; 'EquityShareCapital')::numeric, 0)
      + COALESCE((bs.standalone_json -&gt;&gt; 'OtherEquity')::numeric, 0)
      + COALESCE((bs.standalone_json -&gt;&gt; 'NonControllingInterest')::numeric, 0)
      + COALESCE((bs.standalone_json -&gt;&gt; 'ShareApplicationMoneyReceivedPendingAllotmentOfShares')::numeric, 0)
      + COALESCE((bs.standalone_json -&gt;&gt; 'CreditDebitFairValueChangeAccount')::numeric, 0)
    ) AS equity_calculated,
    CASE
        WHEN ABS(
            (bs.standalone_json -&gt;&gt; 'Equity')::numeric
          - (
                COALESCE((bs.standalone_json -&gt;&gt; 'EquityShareCapital')::numeric, 0)
              + COALESCE((bs.standalone_json -&gt;&gt; 'OtherEquity')::numeric, 0)
              + COALESCE((bs.standalone_json -&gt;&gt; 'NonControllingInterest')::numeric, 0)
              + COALESCE((bs.standalone_json -&gt;&gt; 'ShareApplicationMoneyReceivedPendingAllotmentOfShares')::numeric, 0)
              + COALESCE((bs.standalone_json -&gt;&gt; 'CreditDebitFairValueChangeAccount')::numeric, 0)
            )
        ) &gt; 100000000
        THEN 'EQUITY_MISMATCH'
    END AS equity_flag,
    /* ================= Liabilities ================= */
    (bs.standalone_json -&gt;&gt; 'Liabilities')::numeric AS liabilities_reported,
    (
        COALESCE((bs.standalone_json -&gt;&gt; 'BorrowingsNoncurrent')::numeric, 0)
      + COALESCE((bs.standalone_json -&gt;&gt; 'MinorityInterest')::numeric, 0)
      + COALESCE((bs.standalone_json -&gt;&gt; 'ShareholdersFunds')::numeric, 0)
      + COALESCE((bs.standalone_json -&gt;&gt; 'PolicyholdersFunds')::numeric, 0)
      + COALESCE((bs.standalone_json -&gt;&gt; 'FundsForFutureAppropriations')::numeric, 0)
    ) AS liabilities_calculated,
    CASE
        WHEN ABS(
            (bs.standalone_json -&gt;&gt; 'Liabilities')::numeric
          - (
                COALESCE((bs.standalone_json -&gt;&gt; 'BorrowingsNoncurrent')::numeric, 0)
              + COALESCE((bs.standalone_json -&gt;&gt; 'MinorityInterest')::numeric, 0)
              + COALESCE((bs.standalone_json -&gt;&gt; 'ShareholdersFunds')::numeric, 0)
              + COALESCE((bs.standalone_json -&gt;&gt; 'PolicyholdersFunds')::numeric, 0)
              + COALESCE((bs.standalone_json -&gt;&gt; 'FundsForFutureAppropriations')::numeric, 0)
            )
        ) &gt; 100000000
        THEN 'LIABILITIES_MISMATCH'
    END AS liabilities_flag,
    /* ================= Assets ================= */
    (bs.standalone_json -&gt;&gt; 'Assets')::numeric AS assets_reported,
    (
        COALESCE((bs.standalone_json -&gt;&gt; 'FixedAssets')::numeric, 0)
      + COALESCE((bs.standalone_json -&gt;&gt; 'Loans')::numeric, 0)
      + COALESCE((bs.standalone_json -&gt;&gt; 'InvestmentsShareholders')::numeric, 0)
      + COALESCE((bs.standalone_json -&gt;&gt; 'InvestmentsPolicyholders')::numeric, 0)
      + COALESCE((bs.standalone_json -&gt;&gt; 'AssetsHeldToCoverLinkLiabilities')::numeric, 0)
      + COALESCE((bs.standalone_json -&gt;&gt; 'DeferredTaxAsset')::numeric, 0)
      + COALESCE((bs.standalone_json -&gt;&gt; 'MiscellaneousExpenditureToTheExtentNotWrittenOffOrAdjusted')::numeric, 0)
      + COALESCE((bs.standalone_json -&gt;&gt; 'DebitBalanceInProfitAndLossAccountShareholdersAccount')::numeric, 0)
      + COALESCE((bs.standalone_json -&gt;&gt; 'NetCurrentAssets')::numeric, 0)
    ) AS assets_calculated,
    CASE
        WHEN ABS(
            (bs.standalone_json -&gt;&gt; 'Assets')::numeric
          - (
                COALESCE((bs.standalone_json -&gt;&gt; 'FixedAssets')::numeric, 0)
              + COALESCE((bs.standalone_json -&gt;&gt; 'Loans')::numeric, 0)
              + COALESCE((bs.standalone_json -&gt;&gt; 'InvestmentsShareholders')::numeric, 0)
              + COALESCE((bs.standalone_json -&gt;&gt; 'InvestmentsPolicyholders')::numeric, 0)
              + COALESCE((bs.standalone_json -&gt;&gt; 'AssetsHeldToCoverLinkLiabilities')::numeric, 0)
              + COALESCE((bs.standalone_json -&gt;&gt; 'DeferredTaxAsset')::numeric, 0)
              + COALESCE((bs.standalone_json -&gt;&gt; 'MiscellaneousExpenditureToTheExtentNotWrittenOffOrAdjusted')::numeric, 0)
              + COALESCE((bs.standalone_json -&gt;&gt; 'DebitBalanceInProfitAndLossAccountShareholdersAccount')::numeric, 0)
              + COALESCE((bs.standalone_json -&gt;&gt; 'NetCurrentAssets')::numeric, 0)
            )
        ) &gt; 100000000
        THEN 'ASSETS_MISMATCH'
    END AS assets_flag,
    /* ========= Accounting Equation Check ========= */
    CASE
        WHEN ABS(
            (
                COALESCE((bs.standalone_json -&gt;&gt; 'Equity')::numeric, 0)
              + COALESCE((bs.standalone_json -&gt;&gt; 'Liabilities')::numeric, 0)
            )
          - COALESCE((bs.standalone_json -&gt;&gt; 'Assets')::numeric, 0)
        ) &gt; 100000000
        THEN 'EQUITY_PLUS_LIABILITIES_NOT_EQUAL_ASSETS'
    END AS accounting_equation_flag
FROM balance_sheets bs
INNER JOIN company_profiles cp
    ON bs.stock_symbol = cp.stock_symbol
WHERE
    cp.industry = 'Insurance' and (bs.standalone_json -&gt;&gt; 'Equity')::numeric &lt;&gt; '0'
    --AND bs.period = 'Annual'
    AND (
        /* Equity */
        ABS(
            (bs.standalone_json -&gt;&gt; 'Equity')::numeric
          - (
                COALESCE((bs.standalone_json -&gt;&gt; 'EquityShareCapital')::numeric, 0)
              + COALESCE((bs.standalone_json -&gt;&gt; 'OtherEquity')::numeric, 0)
              + COALESCE((bs.standalone_json -&gt;&gt; 'NonControllingInterest')::numeric, 0)
              + COALESCE((bs.standalone_json -&gt;&gt; 'ShareApplicationMoneyReceivedPendingAllotmentOfShares')::numeric, 0)
              + COALESCE((bs.standalone_json -&gt;&gt; 'CreditDebitFairValueChangeAccount')::numeric, 0)
            )
        ) &gt; 100000000
        OR
        /* Liabilities */
        ABS(
            (bs.standalone_json -&gt;&gt; 'Liabilities')::numeric
          - (
                COALESCE((bs.standalone_json -&gt;&gt; 'BorrowingsNoncurrent')::numeric, 0)
              + COALESCE((bs.standalone_json -&gt;&gt; 'MinorityInterest')::numeric, 0)
              + COALESCE((bs.standalone_json -&gt;&gt; 'ShareholdersFunds')::numeric, 0)
              + COALESCE((bs.standalone_json -&gt;&gt; 'PolicyholdersFunds')::numeric, 0)
              + COALESCE((bs.standalone_json -&gt;&gt; 'FundsForFutureAppropriations')::numeric, 0)
            )
        ) &gt; 100000000
        OR
        /* Assets */
        ABS(
            (bs.standalone_json -&gt;&gt; 'Assets')::numeric
          - (
                COALESCE((bs.standalone_json -&gt;&gt; 'FixedAssets')::numeric, 0)
              + COALESCE((bs.standalone_json -&gt;&gt; 'Loans')::numeric, 0)
              + COALESCE((bs.standalone_json -&gt;&gt; 'InvestmentsShareholders')::numeric, 0)
              + COALESCE((bs.standalone_json -&gt;&gt; 'InvestmentsPolicyholders')::numeric, 0)
              + COALESCE((bs.standalone_json -&gt;&gt; 'AssetsHeldToCoverLinkLiabilities')::numeric, 0)
              + COALESCE((bs.standalone_json -&gt;&gt; 'DeferredTaxAsset')::numeric, 0)
              + COALESCE((bs.standalone_json -&gt;&gt; 'MiscellaneousExpenditureToTheExtentNotWrittenOffOrAdjusted')::numeric, 0)
              + COALESCE((bs.standalone_json -&gt;&gt; 'DebitBalanceInProfitAndLossAccountShareholdersAccount')::numeric, 0)
              + COALESCE((bs.standalone_json -&gt;&gt; 'NetCurrentAssets')::numeric, 0)
            )
        ) &gt; 100000000
        OR
        /* Accounting equation */
        ABS(
            (
                COALESCE((bs.standalone_json -&gt;&gt; 'Equity')::numeric, 0)
              + COALESCE((bs.standalone_json -&gt;&gt; 'Liabilities')::numeric, 0)
            )
          - COALESCE((bs.standalone_json -&gt;&gt; 'Assets')::numeric, 0)
        ) &gt; 100000000
    );</t>
  </si>
  <si>
    <t>UPDATE balance_sheets
SET standalone_overrides = jsonb_build_object(
    'Assets',
    (standalone_json -&gt;&gt; 'SourcesOfFunds')::numeric
)
WHERE (stock_symbol, period, date_header) IN (
    ('NIACL', 'Quarterly', 'Sep 2020'),
    ('NIACL', 'Quarterly', 'Mar 2019')
);</t>
  </si>
  <si>
    <t>SELECT DISTINCT 
    c.stock_symbol,
    cp.company_name,
    cp.market_cap,
    c.bse_q_result_date,
    c.nse_q_result_date,
    x.bse_shareholding_xbrl_url,
    x.nse_shareholding_xbrl_url
FROM utils.company_exchange_data c
INNER JOIN company_profiles cp 
    ON c.stock_symbol = cp.stock_symbol
INNER JOIN utils.company_exchange_xbrls x
    ON c.stock_symbol = x.stock_symbol
   AND to_date(x.to_date, 'DD-Mon-YYYY') = DATE '2025-12-31'
   AND to_date(x.from_date, 'DD-Mon-YYYY') = DATE '2025-10-01'
   AND (x.period = 'Quarterly' OR x.period = '')
WHERE 
    (
        (c.bse_q_result_date &gt; DATE '2026-01-01' AND c.bse_q_result_date &lt;= CURRENT_DATE - 1)
        OR 
        (c.nse_q_result_date &gt; DATE '2026-01-01' AND c.nse_q_result_date &lt;= CURRENT_DATE - 1)
    )
    AND NOT EXISTS (
        SELECT 1
        FROM shareholder_summaries ss
        WHERE ss.stock_symbol = c.stock_symbol
          AND ss.date_header = 'Dec 2025'
    )
    AND cp.quote_date &gt; CURRENT_DATE - 10
    AND cp.active = 'true'
ORDER BY 
    cp.market_cap DESC;</t>
  </si>
  <si>
    <t>SELECT
    bs.stock_symbol,
    bs.period,
	bs.date_header, 
    cp.market_cap,
    /* ================= Equity ================= */
    (bs.consolidated_json -&gt;&gt; 'Equity')::numeric AS equity_reported,
    (
        COALESCE((bs.consolidated_json -&gt;&gt; 'EquityShareCapital')::numeric, 0)
      + COALESCE((bs.consolidated_json -&gt;&gt; 'OtherEquity')::numeric, 0)
      + COALESCE((bs.consolidated_json -&gt;&gt; 'NonControllingInterest')::numeric, 0)
      + COALESCE((bs.consolidated_json -&gt;&gt; 'ShareApplicationMoneyReceivedPendingAllotmentOfShares')::numeric, 0)
      + COALESCE((bs.consolidated_json -&gt;&gt; 'CreditDebitFairValueChangeAccount')::numeric, 0)
    ) AS equity_calculated,
    CASE
        WHEN ABS(
            (bs.consolidated_json -&gt;&gt; 'Equity')::numeric
          - (
                COALESCE((bs.consolidated_json -&gt;&gt; 'EquityShareCapital')::numeric, 0)
              + COALESCE((bs.consolidated_json -&gt;&gt; 'OtherEquity')::numeric, 0)
              + COALESCE((bs.consolidated_json -&gt;&gt; 'NonControllingInterest')::numeric, 0)
              + COALESCE((bs.consolidated_json -&gt;&gt; 'ShareApplicationMoneyReceivedPendingAllotmentOfShares')::numeric, 0)
              + COALESCE((bs.consolidated_json -&gt;&gt; 'CreditDebitFairValueChangeAccount')::numeric, 0)
            )
        ) &gt; 100000000
        THEN 'EQUITY_MISMATCH'
    END AS equity_flag,
    /* ================= Liabilities ================= */
    (bs.consolidated_json -&gt;&gt; 'Liabilities')::numeric AS liabilities_reported,
    (
        COALESCE((bs.consolidated_json -&gt;&gt; 'BorrowingsNoncurrent')::numeric, 0)
      + COALESCE((bs.consolidated_json -&gt;&gt; 'MinorityInterest')::numeric, 0)
      + COALESCE((bs.consolidated_json -&gt;&gt; 'ShareholdersFunds')::numeric, 0)
      + COALESCE((bs.consolidated_json -&gt;&gt; 'PolicyholdersFunds')::numeric, 0)
      + COALESCE((bs.consolidated_json -&gt;&gt; 'FundsForFutureAppropriations')::numeric, 0)
    ) AS liabilities_calculated,
    CASE
        WHEN ABS(
            (bs.consolidated_json -&gt;&gt; 'Liabilities')::numeric
          - (
                COALESCE((bs.consolidated_json -&gt;&gt; 'BorrowingsNoncurrent')::numeric, 0)
              + COALESCE((bs.consolidated_json -&gt;&gt; 'MinorityInterest')::numeric, 0)
              + COALESCE((bs.consolidated_json -&gt;&gt; 'ShareholdersFunds')::numeric, 0)
              + COALESCE((bs.consolidated_json -&gt;&gt; 'PolicyholdersFunds')::numeric, 0)
              + COALESCE((bs.consolidated_json -&gt;&gt; 'FundsForFutureAppropriations')::numeric, 0)
            )
        ) &gt; 100000000
        THEN 'LIABILITIES_MISMATCH'
    END AS liabilities_flag,
    /* ================= Assets ================= */
    (bs.consolidated_json -&gt;&gt; 'Assets')::numeric AS assets_reported,
    (
        COALESCE((bs.consolidated_json -&gt;&gt; 'FixedAssets')::numeric, 0)
      + COALESCE((bs.consolidated_json -&gt;&gt; 'Loans')::numeric, 0)
      + COALESCE((bs.consolidated_json -&gt;&gt; 'InvestmentsShareholders')::numeric, 0)
      + COALESCE((bs.consolidated_json -&gt;&gt; 'InvestmentsPolicyholders')::numeric, 0)
      + COALESCE((bs.consolidated_json -&gt;&gt; 'AssetsHeldToCoverLinkLiabilities')::numeric, 0)
      + COALESCE((bs.consolidated_json -&gt;&gt; 'DeferredTaxAsset')::numeric, 0)
      + COALESCE((bs.consolidated_json -&gt;&gt; 'MiscellaneousExpenditureToTheExtentNotWrittenOffOrAdjusted')::numeric, 0)
      + COALESCE((bs.consolidated_json -&gt;&gt; 'DebitBalanceInProfitAndLossAccountShareholdersAccount')::numeric, 0)
      + COALESCE((bs.consolidated_json -&gt;&gt; 'NetCurrentAssets')::numeric, 0)
    ) AS assets_calculated,
    CASE
        WHEN ABS(
            (bs.consolidated_json -&gt;&gt; 'Assets')::numeric
          - (
                COALESCE((bs.consolidated_json -&gt;&gt; 'FixedAssets')::numeric, 0)
              + COALESCE((bs.consolidated_json -&gt;&gt; 'Loans')::numeric, 0)
              + COALESCE((bs.consolidated_json -&gt;&gt; 'InvestmentsShareholders')::numeric, 0)
              + COALESCE((bs.consolidated_json -&gt;&gt; 'InvestmentsPolicyholders')::numeric, 0)
              + COALESCE((bs.consolidated_json -&gt;&gt; 'AssetsHeldToCoverLinkLiabilities')::numeric, 0)
              + COALESCE((bs.consolidated_json -&gt;&gt; 'DeferredTaxAsset')::numeric, 0)
              + COALESCE((bs.consolidated_json -&gt;&gt; 'MiscellaneousExpenditureToTheExtentNotWrittenOffOrAdjusted')::numeric, 0)
              + COALESCE((bs.consolidated_json -&gt;&gt; 'DebitBalanceInProfitAndLossAccountShareholdersAccount')::numeric, 0)
              + COALESCE((bs.consolidated_json -&gt;&gt; 'NetCurrentAssets')::numeric, 0)
            )
        ) &gt; 100000000
        THEN 'ASSETS_MISMATCH'
    END AS assets_flag,
    /* ========= Accounting Equation Check ========= */
    CASE
        WHEN ABS(
            (
                COALESCE((bs.consolidated_json -&gt;&gt; 'Equity')::numeric, 0)
              + COALESCE((bs.consolidated_json -&gt;&gt; 'Liabilities')::numeric, 0)
            )
          - COALESCE((bs.consolidated_json -&gt;&gt; 'Assets')::numeric, 0)
        ) &gt; 100000000
        THEN 'EQUITY_PLUS_LIABILITIES_NOT_EQUAL_ASSETS'
    END AS accounting_equation_flag
FROM balance_sheets bs
INNER JOIN company_profiles cp
    ON bs.stock_symbol = cp.stock_symbol
WHERE
    cp.industry = 'Insurance' and (bs.consolidated_json -&gt;&gt; 'Equity')::numeric &lt;&gt; '0'
    --AND bs.period = 'Annual'
    AND (
        /* Equity */
        ABS(
            (bs.consolidated_json -&gt;&gt; 'Equity')::numeric
          - (
                COALESCE((bs.consolidated_json -&gt;&gt; 'EquityShareCapital')::numeric, 0)
              + COALESCE((bs.consolidated_json -&gt;&gt; 'OtherEquity')::numeric, 0)
              + COALESCE((bs.consolidated_json -&gt;&gt; 'NonControllingInterest')::numeric, 0)
              + COALESCE((bs.consolidated_json -&gt;&gt; 'ShareApplicationMoneyReceivedPendingAllotmentOfShares')::numeric, 0)
              + COALESCE((bs.consolidated_json -&gt;&gt; 'CreditDebitFairValueChangeAccount')::numeric, 0)
            )
        ) &gt; 100000000
        OR
        /* Liabilities */
        ABS(
            (bs.consolidated_json -&gt;&gt; 'Liabilities')::numeric
          - (
                COALESCE((bs.consolidated_json -&gt;&gt; 'BorrowingsNoncurrent')::numeric, 0)
              + COALESCE((bs.consolidated_json -&gt;&gt; 'MinorityInterest')::numeric, 0)
              + COALESCE((bs.consolidated_json -&gt;&gt; 'ShareholdersFunds')::numeric, 0)
              + COALESCE((bs.consolidated_json -&gt;&gt; 'PolicyholdersFunds')::numeric, 0)
              + COALESCE((bs.consolidated_json -&gt;&gt; 'FundsForFutureAppropriations')::numeric, 0)
            )
        ) &gt; 100000000
        OR
        /* Assets */
        ABS(
            (bs.consolidated_json -&gt;&gt; 'Assets')::numeric
          - (
                COALESCE((bs.consolidated_json -&gt;&gt; 'FixedAssets')::numeric, 0)
              + COALESCE((bs.consolidated_json -&gt;&gt; 'Loans')::numeric, 0)
              + COALESCE((bs.consolidated_json -&gt;&gt; 'InvestmentsShareholders')::numeric, 0)
              + COALESCE((bs.consolidated_json -&gt;&gt; 'InvestmentsPolicyholders')::numeric, 0)
              + COALESCE((bs.consolidated_json -&gt;&gt; 'AssetsHeldToCoverLinkLiabilities')::numeric, 0)
              + COALESCE((bs.consolidated_json -&gt;&gt; 'DeferredTaxAsset')::numeric, 0)
              + COALESCE((bs.consolidated_json -&gt;&gt; 'MiscellaneousExpenditureToTheExtentNotWrittenOffOrAdjusted')::numeric, 0)
              + COALESCE((bs.consolidated_json -&gt;&gt; 'DebitBalanceInProfitAndLossAccountShareholdersAccount')::numeric, 0)
              + COALESCE((bs.consolidated_json -&gt;&gt; 'NetCurrentAssets')::numeric, 0)
            )
        ) &gt; 100000000
        OR
        /* Accounting equation */
        ABS(
            (
                COALESCE((bs.consolidated_json -&gt;&gt; 'Equity')::numeric, 0)
              + COALESCE((bs.consolidated_json -&gt;&gt; 'Liabilities')::numeric, 0)
            )
          - COALESCE((bs.consolidated_json -&gt;&gt; 'Assets')::numeric, 0)
        ) &gt; 100000000
    );</t>
  </si>
  <si>
    <t>Insurance</t>
  </si>
  <si>
    <t>SELECT profile_id, username, created_at FROM "user".user_profiles order by created_at desc</t>
  </si>
  <si>
    <t>Users</t>
  </si>
  <si>
    <t>SELECT
    bs.stock_symbol,
    bs.to_date,
    bs.period,
    ROUND(cp.market_cap, 2) AS market_cap_crore,
    -- Convert all to crore
    ROUND((bs.standalone_json -&gt;&gt; 'EquityShareCapital')::NUMERIC / 10000000, 2) AS EquityShareCapital_crore,
    ROUND((bs.standalone_json -&gt;&gt; 'OtherEquity')::NUMERIC / 10000000, 2) AS OtherEquity_crore,
    ROUND((bs.standalone_json -&gt;&gt; 'NonControllingInterest')::NUMERIC / 10000000, 2) AS NonControllingInterest_crore,
    -- Sum of components, all in crore
    ROUND(
        COALESCE((bs.standalone_json -&gt;&gt; 'EquityShareCapital')::NUMERIC, 0) / 10000000 +
        COALESCE((bs.standalone_json -&gt;&gt; 'OtherEquity')::NUMERIC, 0) / 10000000 +
        COALESCE((bs.standalone_json -&gt;&gt; 'NonControllingInterest')::NUMERIC, 0) / 10000000
    , 2) AS equity_sum_crore,
    -- Reported Equity in crore
    ROUND((bs.standalone_json -&gt;&gt; 'Equity')::NUMERIC / 10000000, 2) AS Equity_crore,
    -- % Difference calculation
    CASE 
        WHEN (bs.standalone_json -&gt;&gt; 'Equity')::NUMERIC = 0 THEN NULL
        ELSE ROUND(
            (
                (
                    (
                        COALESCE((bs.standalone_json -&gt;&gt; 'EquityShareCapital')::NUMERIC, 0) / 10000000 +
                        COALESCE((bs.standalone_json -&gt;&gt; 'OtherEquity')::NUMERIC, 0) / 10000000 +
                        COALESCE((bs.standalone_json -&gt;&gt; 'NonControllingInterest')::NUMERIC, 0) / 10000000
                    ) - (bs.standalone_json -&gt;&gt; 'Equity')::NUMERIC / 10000000
                )
                /
                ((bs.standalone_json -&gt;&gt; 'Equity')::NUMERIC / 10000000)
            ) * 100
        , 2)
    END AS equity_difference_percent
FROM public.balance_sheets bs
JOIN public.company_profiles cp ON bs.stock_symbol = cp.stock_symbol
WHERE
    -- Equity mismatch condition
    ROUND(
        COALESCE((bs.standalone_json -&gt;&gt; 'EquityShareCapital')::NUMERIC, 2) / 10000000 +
        COALESCE((bs.standalone_json -&gt;&gt; 'OtherEquity')::NUMERIC, 2) / 10000000 
    , 2) &lt;&gt; ROUND((bs.standalone_json -&gt;&gt; 'Equity')::NUMERIC / 10000000, 2)
    AND cp.industry not in ('Banks','Insurance')
ORDER BY cp.market_cap DESC;</t>
  </si>
  <si>
    <t>SELECT
    bs.id,
	bs.stock_symbol,
	bs.date_header, 
    bs.to_date,
    bs.period,
    ROUND(cp.market_cap, 2) AS market_cap_crore,
    -- Convert all to crore
    ROUND((bs.consolidated_json -&gt;&gt; 'EquityShareCapital')::NUMERIC / 10000000, 2) AS EquityShareCapital_crore,
    ROUND((bs.consolidated_json -&gt;&gt; 'OtherEquity')::NUMERIC / 10000000, 2) AS OtherEquity_crore,
    ROUND((bs.consolidated_json -&gt;&gt; 'NonControllingInterest')::NUMERIC / 10000000, 2) AS NonControllingInterest_crore,
    -- Sum of components, all in crore
    ROUND(
        COALESCE((bs.consolidated_json -&gt;&gt; 'EquityShareCapital')::NUMERIC, 0) / 10000000 +
        COALESCE((bs.consolidated_json -&gt;&gt; 'OtherEquity')::NUMERIC, 0) / 10000000 +
        COALESCE((bs.consolidated_json -&gt;&gt; 'NonControllingInterest')::NUMERIC, 0) / 10000000
    , 2) AS equity_sum_crore,
    -- Reported Equity in crore
    ROUND((bs.consolidated_json -&gt;&gt; 'Equity')::NUMERIC / 10000000, 2) AS Equity_crore,
    -- % Difference calculation
    CASE 
        WHEN (bs.consolidated_json -&gt;&gt; 'Equity')::NUMERIC = 0 THEN NULL
        ELSE ROUND(
            (
                (
                    (
                        COALESCE((bs.consolidated_json -&gt;&gt; 'EquityShareCapital')::NUMERIC, 0) / 10000000 +
                        COALESCE((bs.consolidated_json -&gt;&gt; 'OtherEquity')::NUMERIC, 0) / 10000000 +
                        COALESCE((bs.consolidated_json -&gt;&gt; 'NonControllingInterest')::NUMERIC, 0) / 10000000
                    ) - (bs.consolidated_json -&gt;&gt; 'Equity')::NUMERIC / 10000000
                )
                /
                ((bs.consolidated_json -&gt;&gt; 'Equity')::NUMERIC / 10000000)
            ) * 100
        , 2)
    END AS equity_difference_percent,
	  -- Check equality condition
    CASE 
        WHEN ROUND(
                COALESCE((bs.consolidated_json -&gt;&gt; 'EquityShareCapital')::NUMERIC, 0) / 10000000 + 
                COALESCE((bs.consolidated_json -&gt;&gt; 'OtherEquity')::NUMERIC, 0) / 10000000, 
            2
        ) = ROUND(
                COALESCE((bs.consolidated_json -&gt;&gt; 'Equity')::NUMERIC, 0) / 10000000, 
            2
        )
        THEN TRUE
        ELSE FALSE
    END AS equity_matches
FROM public.balance_sheets bs
JOIN public.company_profiles cp ON bs.stock_symbol = cp.stock_symbol
WHERE
    -- Equity mismatch condition
    ROUND(
        COALESCE((bs.consolidated_json -&gt;&gt; 'EquityShareCapital')::NUMERIC, 2) / 10000000 +
        COALESCE((bs.consolidated_json -&gt;&gt; 'OtherEquity')::NUMERIC, 2) / 10000000 +
        COALESCE((bs.consolidated_json -&gt;&gt; 'NonControllingInterest')::NUMERIC, 2) / 10000000
    , 2) &lt;&gt; ROUND((bs.consolidated_json -&gt;&gt; 'Equity')::NUMERIC / 10000000, 2)
    AND cp.industry not in ('Banks','Insurance') and bs.period = 'Annual' 
ORDER BY equity_matches, cp.market_cap DESC;</t>
  </si>
  <si>
    <t>SELECT
    bs.stock_symbol,
	bs.updated_at,
    bs.to_date,
    bs.period,
    ROUND(cp.market_cap, 2) AS market_cap_crore,
    -- Individual fields in crore
    ROUND((bs.standalone_json -&gt;&gt; 'BorrowingsCurrent')::NUMERIC / 10000000, 2) AS BorrowingsCurrent_crore,
    ROUND((bs.standalone_json -&gt;&gt; 'TradePayablesCurrent')::NUMERIC / 10000000, 2) AS TradePayablesCurrent_crore,    
    ROUND((bs.standalone_json -&gt;&gt; 'OtherCurrentFinancialLiabilities')::NUMERIC / 10000000, 2) AS OtherCurrentFinancialLiabilities_crore,
    ROUND((bs.standalone_json -&gt;&gt; 'OtherCurrentLiabilities')::NUMERIC / 10000000, 2) AS OtherCurrentLiabilities_crore,
    ROUND((bs.standalone_json -&gt;&gt; 'ShareApplicationMoneyPendingAllotment')::NUMERIC / 10000000, 2) AS MoneyPendingAlloctment_crore,
	ROUND((bs.standalone_json -&gt;&gt; 'ProvisionsCurrent')::NUMERIC / 10000000, 2) AS ProvisionsCurrent_crore,
    ROUND((bs.standalone_json -&gt;&gt; 'DerivativeFinancialInstrumentsFinancialLiabilities')::NUMERIC / 10000000, 2) AS DerivativeFinancialInstruments_crore,
    ROUND((bs.standalone_json -&gt;&gt; 'Deposits')::NUMERIC / 10000000, 2) AS Deposits_crore,
    ROUND((bs.standalone_json -&gt;&gt; 'CurrentTaxLiabilities')::NUMERIC / 10000000, 2) AS CurrentTaxLiabilities_crore,
    ROUND((bs.standalone_json -&gt;&gt; 'DeferredGovernmentGrantsCurrent')::NUMERIC / 10000000, 2) AS DeferredGovernmentGrants_crore,
	ROUND((bs.standalone_json -&gt;&gt; 'Payables')::NUMERIC / 10000000, 2) AS Payables_crore,
	ROUND((bs.standalone_json -&gt;&gt; 'TotalOutstandingDuesOfMicroEnterpriseAndSmallEnterprise')::NUMERIC / 10000000, 2) AS OutstandingDues1_crore,
    ROUND((bs.standalone_json -&gt;&gt; 'TotalOutstandingDuesOfCreditorsOtherThanMicroEnterpriseAndSmallEnterprise')::NUMERIC / 10000000, 2) AS OutstandingDues2_crore,
    ROUND((bs.standalone_json -&gt;&gt; 'TotalOutstandingDuesOfMicroEnterpriseAndSmallEnterpriseOtherPayables')::NUMERIC / 10000000, 2) AS OutstandingDues3_crore,
    ROUND((bs.standalone_json -&gt;&gt; 'TotalOutstandingDuesOfCreditorsOtherThanMicroEnterpriseAndSmallEnterpriseOtherPayables')::NUMERIC / 10000000, 2) AS OutstandingDues4_crore,
    ROUND((bs.standalone_json -&gt;&gt; 'TotalOutstandingDuesOfMicroEnterprisesAndSmallEnterprises')::NUMERIC / 10000000, 2) AS OutstandingDues5_crore,
    ROUND((bs.standalone_json -&gt;&gt; 'TotalOutstandingDuesOfCreditorsOtherThanMicroEnterprisesAndSmallEnterprises')::NUMERIC / 10000000, 2) AS OutstandingDues6_crore,
    ROUND((bs.standalone_json -&gt;&gt; 'TotalOutstandingDuesOfCreditorsOtherThanMicroEnterpriseAndSmallEnterpriseCurrent')::NUMERIC / 10000000, 2) AS OutstandingDues7_crore,
    ROUND((bs.standalone_json -&gt;&gt; 'OutstandingDuesOfCreditorsOtherThanMicroEnterprisesAndSmallEnterprises')::NUMERIC / 10000000, 2) AS OutstandingDues8_crore,
    ROUND((bs.standalone_json -&gt;&gt; 'OutstandingDuesOfMicroEnterprisesAndSmallEnterprises')::NUMERIC / 10000000, 2) AS OutstandingDues9_crore,
    ROUND((bs.standalone_json -&gt;&gt; 'LiabilitiesDirectlyAssociatedWithAssetsInDisposalGroupClassifiedAsHeldForSale')::NUMERIC / 10000000, 2) AS LiabilitiesHeldForSale_crore,
    ROUND((bs.standalone_json -&gt;&gt; 'RegulatoryDeferralAccountCreditBalancesAndRelatedDeferredTaxLiability')::NUMERIC / 10000000, 2) AS RegulatoryDeferralBalances_crore,
    ROUND((bs.standalone_json -&gt;&gt; 'CurrentLiabilities')::NUMERIC / 10000000, 2) AS CurrentLiabilities_crore,
	    -- Flag true when Payables equals sum of other dues
    CASE
      WHEN
        COALESCE((bs.standalone_json -&gt;&gt; 'TradePayablesCurrent')::NUMERIC, 0)
        =
        (
          COALESCE((bs.standalone_json -&gt;&gt; 'TotalOutstandingDuesOfMicroEnterpriseAndSmallEnterprise')::NUMERIC, 0)
          + COALESCE((bs.standalone_json -&gt;&gt; 'TotalOutstandingDuesOfMicroEnterpriseAndSmallEnterpriseOtherPayables')::NUMERIC, 0)
          + COALESCE((bs.standalone_json -&gt;&gt; 'TotalOutstandingDuesOfMicroEnterprisesAndSmallEnterprises')::NUMERIC, 0)
          + COALESCE((bs.standalone_json -&gt;&gt; 'OutstandingDuesOfMicroEnterprisesAndSmallEnterprises')::NUMERIC, 0)
          + COALESCE((bs.standalone_json -&gt;&gt; 'TotalOutstandingDuesOfCreditorsOtherThanMicroEnterpriseAndSmallEnterprise')::NUMERIC, 0)
          + COALESCE((bs.standalone_json -&gt;&gt; 'TotalOutstandingDuesOfCreditorsOtherThanMicroEnterpriseAndSmallEnterpriseOtherPayables')::NUMERIC, 0)
          + COALESCE((bs.standalone_json -&gt;&gt; 'TotalOutstandingDuesOfCreditorsOtherThanMicroEnterprisesAndSmallEnterprises')::NUMERIC, 0)
          + COALESCE((bs.standalone_json -&gt;&gt; 'TotalOutstandingDuesOfCreditorsOtherThanMicroEnterpriseAndSmallEnterpriseCurrent')::NUMERIC, 0)
          + COALESCE((bs.standalone_json -&gt;&gt; 'OutstandingDuesOfCreditorsOtherThanMicroEnterprisesAndSmallEnterprises')::NUMERIC, 0)
        )
      THEN 'true'
      ELSE 'false'
    END AS is_matching_TradePayablesCurrent,
	 -- Sum of individual current liability items (used in WHERE clause)
    ROUND((
        COALESCE((bs.standalone_json -&gt;&gt; 'BorrowingsCurrent')::NUMERIC, 0) +
        COALESCE((bs.standalone_json -&gt;&gt; 'TradePayablesCurrent')::NUMERIC, 0) +
        COALESCE((bs.standalone_json -&gt;&gt; 'OtherCurrentFinancialLiabilities')::NUMERIC, 0) +
        COALESCE((bs.standalone_json -&gt;&gt; 'OtherCurrentLiabilities')::NUMERIC, 0) +
		--COALESCE((bs.standalone_json -&gt;&gt; 'ShareApplicationMoneyPendingAllotment')::NUMERIC, 0) +
        COALESCE((bs.standalone_json -&gt;&gt; 'ProvisionsCurrent')::NUMERIC, 0) +
        COALESCE((bs.standalone_json -&gt;&gt; 'DerivativeFinancialInstrumentsFinancialLiabilities')::NUMERIC, 0) +
        COALESCE((bs.standalone_json -&gt;&gt; 'Deposits')::NUMERIC, 0) +
        COALESCE((bs.standalone_json -&gt;&gt; 'CurrentTaxLiabilities')::NUMERIC, 0) +
        COALESCE((bs.standalone_json -&gt;&gt; 'DeferredGovernmentGrantsCurrent')::NUMERIC, 0)
    ) / 10000000, 2) AS SumOfCurrentLiabilitiesItems_crore
FROM public.balance_sheets bs
JOIN public.company_profiles cp ON bs.stock_symbol = cp.stock_symbol
WHERE
    -- Filter where sum of individual items ≠ CurrentLiabilities (both in crore)
    ROUND((
        COALESCE((bs.standalone_json -&gt;&gt; 'BorrowingsCurrent')::NUMERIC, 0) +
        COALESCE((bs.standalone_json -&gt;&gt; 'TradePayablesCurrent')::NUMERIC, 0) +
        COALESCE((bs.standalone_json -&gt;&gt; 'OtherCurrentFinancialLiabilities')::NUMERIC, 0) +
        COALESCE((bs.standalone_json -&gt;&gt; 'OtherCurrentLiabilities')::NUMERIC, 0) +
		--COALESCE((bs.standalone_json -&gt;&gt; 'ShareApplicationMoneyPendingAllotment')::NUMERIC, 0) +
        COALESCE((bs.standalone_json -&gt;&gt; 'ProvisionsCurrent')::NUMERIC, 0) +
        COALESCE((bs.standalone_json -&gt;&gt; 'DerivativeFinancialInstrumentsFinancialLiabilities')::NUMERIC, 0) +
        COALESCE((bs.standalone_json -&gt;&gt; 'Deposits')::NUMERIC, 0) +
        COALESCE((bs.standalone_json -&gt;&gt; 'CurrentTaxLiabilities')::NUMERIC, 0) +
        COALESCE((bs.standalone_json -&gt;&gt; 'DeferredGovernmentGrantsCurrent')::NUMERIC, 0)
    ) / 10000000, 2)
    &lt;&gt; ROUND((bs.standalone_json -&gt;&gt; 'CurrentLiabilities')::NUMERIC / 10000000, 2) --NOT BETWEEN -.01 AND .01
    AND cp.industry not in ('Banks','Insurance') AND bs.period = 'Annual'
ORDER BY cp.market_cap DESC;</t>
  </si>
  <si>
    <t>SELECT
    bs.stock_symbol,
	bs.updated_at,
    bs.to_date,
    bs.period,
    ROUND(cp.market_cap, 2) AS market_cap_crore,
    -- Individual fields in crore
    ROUND((bs.consolidated_json -&gt;&gt; 'BorrowingsCurrent')::NUMERIC / 10000000, 2) AS BorrowingsCurrent_crore,
    ROUND((bs.consolidated_json -&gt;&gt; 'TradePayablesCurrent')::NUMERIC / 10000000, 2) AS TradePayablesCurrent_crore,    
    ROUND((bs.consolidated_json -&gt;&gt; 'OtherCurrentFinancialLiabilities')::NUMERIC / 10000000, 2) AS OtherCurrentFinancialLiabilities_crore,
    ROUND((bs.consolidated_json -&gt;&gt; 'OtherCurrentLiabilities')::NUMERIC / 10000000, 2) AS OtherCurrentLiabilities_crore,
    ROUND((bs.consolidated_json -&gt;&gt; 'ShareApplicationMoneyPendingAllotment')::NUMERIC / 10000000, 2) AS MoneyPendingAlloctment_crore,
	ROUND((bs.consolidated_json -&gt;&gt; 'ProvisionsCurrent')::NUMERIC / 10000000, 2) AS ProvisionsCurrent_crore,
    ROUND((bs.consolidated_json -&gt;&gt; 'DerivativeFinancialInstrumentsFinancialLiabilities')::NUMERIC / 10000000, 2) AS DerivativeFinancialInstruments_crore,
    ROUND((bs.consolidated_json -&gt;&gt; 'Deposits')::NUMERIC / 10000000, 2) AS Deposits_crore,
    ROUND((bs.consolidated_json -&gt;&gt; 'CurrentTaxLiabilities')::NUMERIC / 10000000, 2) AS CurrentTaxLiabilities_crore,
    ROUND((bs.consolidated_json -&gt;&gt; 'DeferredGovernmentGrantsCurrent')::NUMERIC / 10000000, 2) AS DeferredGovernmentGrants_crore,
	ROUND((bs.consolidated_json -&gt;&gt; 'Payables')::NUMERIC / 10000000, 2) AS Payables_crore,
	ROUND((bs.consolidated_json -&gt;&gt; 'TotalOutstandingDuesOfMicroEnterpriseAndSmallEnterprise')::NUMERIC / 10000000, 2) AS OutstandingDues1_crore,
    ROUND((bs.consolidated_json -&gt;&gt; 'TotalOutstandingDuesOfCreditorsOtherThanMicroEnterpriseAndSmallEnterprise')::NUMERIC / 10000000, 2) AS OutstandingDues2_crore,
    ROUND((bs.consolidated_json -&gt;&gt; 'TotalOutstandingDuesOfMicroEnterpriseAndSmallEnterpriseOtherPayables')::NUMERIC / 10000000, 2) AS OutstandingDues3_crore,
    ROUND((bs.consolidated_json -&gt;&gt; 'TotalOutstandingDuesOfCreditorsOtherThanMicroEnterpriseAndSmallEnterpriseOtherPayables')::NUMERIC / 10000000, 2) AS OutstandingDues4_crore,
    ROUND((bs.consolidated_json -&gt;&gt; 'TotalOutstandingDuesOfMicroEnterprisesAndSmallEnterprises')::NUMERIC / 10000000, 2) AS OutstandingDues5_crore,
    ROUND((bs.consolidated_json -&gt;&gt; 'TotalOutstandingDuesOfCreditorsOtherThanMicroEnterprisesAndSmallEnterprises')::NUMERIC / 10000000, 2) AS OutstandingDues6_crore,
    ROUND((bs.consolidated_json -&gt;&gt; 'TotalOutstandingDuesOfCreditorsOtherThanMicroEnterpriseAndSmallEnterpriseCurrent')::NUMERIC / 10000000, 2) AS OutstandingDues7_crore,
    ROUND((bs.consolidated_json -&gt;&gt; 'OutstandingDuesOfCreditorsOtherThanMicroEnterprisesAndSmallEnterprises')::NUMERIC / 10000000, 2) AS OutstandingDues8_crore,
    ROUND((bs.consolidated_json -&gt;&gt; 'OutstandingDuesOfMicroEnterprisesAndSmallEnterprises')::NUMERIC / 10000000, 2) AS OutstandingDues9_crore,
    ROUND((bs.consolidated_json -&gt;&gt; 'LiabilitiesDirectlyAssociatedWithAssetsInDisposalGroupClassifiedAsHeldForSale')::NUMERIC / 10000000, 2) AS LiabilitiesHeldForSale_crore,
    ROUND((bs.consolidated_json -&gt;&gt; 'RegulatoryDeferralAccountCreditBalancesAndRelatedDeferredTaxLiability')::NUMERIC / 10000000, 2) AS RegulatoryDeferralBalances_crore,
    ROUND((bs.consolidated_json -&gt;&gt; 'CurrentLiabilities')::NUMERIC / 10000000, 2) AS CurrentLiabilities_crore,
	    -- Flag true when Payables equals sum of other dues
    CASE
      WHEN
        COALESCE((bs.consolidated_json -&gt;&gt; 'TradePayablesCurrent')::NUMERIC, 0)
        =
        (
          COALESCE((bs.consolidated_json -&gt;&gt; 'TotalOutstandingDuesOfMicroEnterpriseAndSmallEnterprise')::NUMERIC, 0)
          + COALESCE((bs.consolidated_json -&gt;&gt; 'TotalOutstandingDuesOfMicroEnterpriseAndSmallEnterpriseOtherPayables')::NUMERIC, 0)
          + COALESCE((bs.consolidated_json -&gt;&gt; 'TotalOutstandingDuesOfMicroEnterprisesAndSmallEnterprises')::NUMERIC, 0)
          + COALESCE((bs.consolidated_json -&gt;&gt; 'OutstandingDuesOfMicroEnterprisesAndSmallEnterprises')::NUMERIC, 0)
          + COALESCE((bs.consolidated_json -&gt;&gt; 'TotalOutstandingDuesOfCreditorsOtherThanMicroEnterpriseAndSmallEnterprise')::NUMERIC, 0)
          + COALESCE((bs.consolidated_json -&gt;&gt; 'TotalOutstandingDuesOfCreditorsOtherThanMicroEnterpriseAndSmallEnterpriseOtherPayables')::NUMERIC, 0)
          + COALESCE((bs.consolidated_json -&gt;&gt; 'TotalOutstandingDuesOfCreditorsOtherThanMicroEnterprisesAndSmallEnterprises')::NUMERIC, 0)
          + COALESCE((bs.consolidated_json -&gt;&gt; 'TotalOutstandingDuesOfCreditorsOtherThanMicroEnterpriseAndSmallEnterpriseCurrent')::NUMERIC, 0)
          + COALESCE((bs.consolidated_json -&gt;&gt; 'OutstandingDuesOfCreditorsOtherThanMicroEnterprisesAndSmallEnterprises')::NUMERIC, 0)
        )
      THEN 'true'
      ELSE 'false'
    END AS is_matching_TradePayablesCurrent,
	 -- Sum of individual current liability items (used in WHERE clause)
    ROUND((
        COALESCE((bs.consolidated_json -&gt;&gt; 'BorrowingsCurrent')::NUMERIC, 0) +
        COALESCE((bs.consolidated_json -&gt;&gt; 'TradePayablesCurrent')::NUMERIC, 0) +
        COALESCE((bs.consolidated_json -&gt;&gt; 'OtherCurrentFinancialLiabilities')::NUMERIC, 0) +
        COALESCE((bs.consolidated_json -&gt;&gt; 'OtherCurrentLiabilities')::NUMERIC, 0) +
		--COALESCE((bs.consolidated_json -&gt;&gt; 'ShareApplicationMoneyPendingAllotment')::NUMERIC, 0) +
        COALESCE((bs.consolidated_json -&gt;&gt; 'ProvisionsCurrent')::NUMERIC, 0) +
        COALESCE((bs.consolidated_json -&gt;&gt; 'DerivativeFinancialInstrumentsFinancialLiabilities')::NUMERIC, 0) +
        COALESCE((bs.consolidated_json -&gt;&gt; 'Deposits')::NUMERIC, 0) +
        COALESCE((bs.consolidated_json -&gt;&gt; 'CurrentTaxLiabilities')::NUMERIC, 0) +
        COALESCE((bs.consolidated_json -&gt;&gt; 'DeferredGovernmentGrantsCurrent')::NUMERIC, 0)
    ) / 10000000, 2) AS SumOfCurrentLiabilitiesItems_crore
FROM public.balance_sheets bs
JOIN public.company_profiles cp ON bs.stock_symbol = cp.stock_symbol
WHERE
    -- Filter where sum of individual items ≠ CurrentLiabilities (both in crore)
    ROUND((
        COALESCE((bs.consolidated_json -&gt;&gt; 'BorrowingsCurrent')::NUMERIC, 0) +
        COALESCE((bs.consolidated_json -&gt;&gt; 'TradePayablesCurrent')::NUMERIC, 0) +
        COALESCE((bs.consolidated_json -&gt;&gt; 'OtherCurrentFinancialLiabilities')::NUMERIC, 0) +
        COALESCE((bs.consolidated_json -&gt;&gt; 'OtherCurrentLiabilities')::NUMERIC, 0) +
		--COALESCE((bs.consolidated_json -&gt;&gt; 'ShareApplicationMoneyPendingAllotment')::NUMERIC, 0) +
        COALESCE((bs.consolidated_json -&gt;&gt; 'ProvisionsCurrent')::NUMERIC, 0) +
        COALESCE((bs.consolidated_json -&gt;&gt; 'DerivativeFinancialInstrumentsFinancialLiabilities')::NUMERIC, 0) +
        COALESCE((bs.consolidated_json -&gt;&gt; 'Deposits')::NUMERIC, 0) +
        COALESCE((bs.consolidated_json -&gt;&gt; 'CurrentTaxLiabilities')::NUMERIC, 0) +
        COALESCE((bs.consolidated_json -&gt;&gt; 'DeferredGovernmentGrantsCurrent')::NUMERIC, 0)
    ) / 10000000, 2)
    &lt;&gt; ROUND((bs.consolidated_json -&gt;&gt; 'CurrentLiabilities')::NUMERIC / 10000000, 2) --NOT BETWEEN -.01 AND .01
    AND cp.industry not in ('Banks','Insurance') --and market_cap &gt; '92861.2'
ORDER BY cp.market_cap DESC;</t>
  </si>
  <si>
    <t>SELECT
    bs.stock_symbol, bs.updated_at, 
    bs.to_date,
    bs.period,
    ROUND(cp.market_cap, 2) AS market_cap_crore,
    -- Individual fields in crore
    ROUND(COALESCE((bs.standalone_json -&gt;&gt; 'BorrowingsNoncurrent')::NUMERIC, 0) / 10000000, 2) AS BorrowingsNoncurrent_crore,
    ROUND(COALESCE((bs.standalone_json -&gt;&gt; 'TradePayablesNoncurrent')::NUMERIC, 0) / 10000000, 2) AS TradePayablesNoncurrent_crore,
    ROUND(COALESCE((bs.standalone_json -&gt;&gt; 'OtherNoncurrentFinancialLiabilities')::NUMERIC, 0) / 10000000, 2) AS OtherNoncurrentFinancialLiabilities_crore,
    ROUND(COALESCE((bs.standalone_json -&gt;&gt; 'ProvisionsNoncurrent')::NUMERIC, 0) / 10000000, 2) AS ProvisionsNoncurrent_crore,
    ROUND(COALESCE((bs.standalone_json -&gt;&gt; 'DebtSecurities')::NUMERIC, 0) / 10000000, 2) AS DebtSecurities_crore,
    ROUND(COALESCE((bs.standalone_json -&gt;&gt; 'SubordinatedLiabilities')::NUMERIC, 0) / 10000000, 2) AS SubordinatedLiabilities_crore,
    ROUND(COALESCE((bs.standalone_json -&gt;&gt; 'OtherNonFinancialLiabilities')::NUMERIC, 0) / 10000000, 2) AS OtherNonFinancialLiabilities_crore,
    ROUND(COALESCE((bs.standalone_json -&gt;&gt; 'DeferredTaxLiabilitiesNet')::NUMERIC, 0) / 10000000, 2) AS DeferredTaxLiabilitiesNet_crore,
    ROUND(COALESCE((bs.standalone_json -&gt;&gt; 'DeferredGovernmentGrantsNoncurrent')::NUMERIC, 0) / 10000000, 2) AS DeferredGovernmentGrantsNoncurrent_crore,
    ROUND(COALESCE((bs.standalone_json -&gt;&gt; 'OtherNoncurrentLiabilities')::NUMERIC, 0) / 10000000, 2) AS OtherNoncurrentLiabilities_crore,
	ROUND(COALESCE((bs.standalone_json -&gt;&gt; 'TotalOutstandingDuesOfMicroEnterpriseAndSmallEnterpriseNoncurrent')::NUMERIC, 0) / 10000000, 2) AS Dues1_crore,
    ROUND(COALESCE((bs.standalone_json -&gt;&gt; 'TotalOutstandingDuesOfCreditorsOtherThanMicroEnterpriseAndSmallEnterpriseNoncurrent')::NUMERIC, 0) / 10000000, 2) AS Dues2_crore,
    ROUND(COALESCE((bs.standalone_json -&gt;&gt; 'NoncurrentLiabilities')::NUMERIC, 0) / 10000000, 2) AS NoncurrentLiabilities_crore,
    ROUND(COALESCE((bs.standalone_json -&gt;&gt; 'OtherFinancialLiabilities')::NUMERIC, 0) / 10000000, 2) AS OtherFinancialLiabilities_crore,
    ROUND(COALESCE((bs.standalone_json -&gt;&gt; 'Borrowings')::NUMERIC, 0) / 10000000, 2) AS Borrowings_crore,
	ROUND(COALESCE((bs.standalone_json -&gt;&gt; 'Provisions')::NUMERIC, 0) / 10000000, 2) AS Provisions_crore,
--Print the sum of the non-current liabilities fields 
	ROUND((
    COALESCE((bs.standalone_json -&gt;&gt; 'BorrowingsNoncurrent')::NUMERIC, 0) +
    COALESCE((bs.standalone_json -&gt;&gt; 'TradePayablesNoncurrent')::NUMERIC, 0) +
    COALESCE((bs.standalone_json -&gt;&gt; 'OtherNoncurrentFinancialLiabilities')::NUMERIC, 0) +
    COALESCE((bs.standalone_json -&gt;&gt; 'ProvisionsNoncurrent')::NUMERIC, 0) +
    COALESCE((bs.standalone_json -&gt;&gt; 'DebtSecurities')::NUMERIC, 0) +
    COALESCE((bs.standalone_json -&gt;&gt; 'SubordinatedLiabilities')::NUMERIC, 0) +
    COALESCE((bs.standalone_json -&gt;&gt; 'OtherNonFinancialLiabilities')::NUMERIC, 0) +
    COALESCE((bs.standalone_json -&gt;&gt; 'DeferredTaxLiabilitiesNet')::NUMERIC, 0) +
    COALESCE((bs.standalone_json -&gt;&gt; 'DeferredGovernmentGrantsNoncurrent')::NUMERIC, 0) +
    COALESCE((bs.standalone_json -&gt;&gt; 'OtherNoncurrentLiabilities')::NUMERIC, 0)
) / 10000000, 2) AS SumOfNonCurrentLiabilities_crore
FROM public.balance_sheets bs
JOIN public.company_profiles cp ON bs.stock_symbol = cp.stock_symbol
WHERE
    ROUND((
        COALESCE((bs.standalone_json -&gt;&gt; 'BorrowingsNoncurrent')::NUMERIC, 0) +
        --COALESCE((bs.standalone_json -&gt;&gt; 'Borrowings')::NUMERIC, 0) +		
        COALESCE((bs.standalone_json -&gt;&gt; 'TradePayablesNoncurrent')::NUMERIC, 0) +
        COALESCE((bs.standalone_json -&gt;&gt; 'OtherNoncurrentFinancialLiabilities')::NUMERIC, 0) +
        --COALESCE((bs.standalone_json -&gt;&gt; 'OtherFinancialLiabilities')::NUMERIC, 0) +
        COALESCE((bs.standalone_json -&gt;&gt; 'ProvisionsNoncurrent')::NUMERIC, 0) +
        --COALESCE((bs.standalone_json -&gt;&gt; 'Provisions')::NUMERIC, 0) +
        COALESCE((bs.standalone_json -&gt;&gt; 'DebtSecurities')::NUMERIC, 0) +
        COALESCE((bs.standalone_json -&gt;&gt; 'SubordinatedLiabilities')::NUMERIC, 0) +
        COALESCE((bs.standalone_json -&gt;&gt; 'OtherNonFinancialLiabilities')::NUMERIC, 0) +
        COALESCE((bs.standalone_json -&gt;&gt; 'DeferredTaxLiabilitiesNet')::NUMERIC, 0) +
        COALESCE((bs.standalone_json -&gt;&gt; 'DeferredGovernmentGrantsNoncurrent')::NUMERIC, 0) +
        COALESCE((bs.standalone_json -&gt;&gt; 'OtherNoncurrentLiabilities')::NUMERIC, 0)
		--COALESCE((bs.standalone_json -&gt;&gt; 'TotalOutstandingDuesOfMicroEnterpriseAndSmallEnterpriseNoncurrent')::NUMERIC, 0) +
        --COALESCE((bs.standalone_json -&gt;&gt; 'TotalOutstandingDuesOfCreditorsOtherThanMicroEnterpriseAndSmallEnterpriseNoncurrent')::NUMERIC, 0)
    ) / 10000000, 2)
    &lt;&gt; ROUND(COALESCE((bs.standalone_json -&gt;&gt; 'NoncurrentLiabilities')::NUMERIC, 0) / 10000000, 2)
    AND cp.industry not in ('Banks','Insurance') and bs.period = 'Annual'
ORDER BY cp.market_cap DESC;</t>
  </si>
  <si>
    <t>SELECT
    bs.stock_symbol, bs.updated_at, 
    bs.to_date,
    bs.period,
	bs.updated_at,
    ROUND(cp.market_cap, 2) AS market_cap_crore,
    -- Individual fields in crore
    ROUND(COALESCE((bs.consolidated_json -&gt;&gt; 'BorrowingsNoncurrent')::NUMERIC, 0) / 10000000, 2) AS BorrowingsNoncurrent_crore,
    ROUND(COALESCE((bs.consolidated_json -&gt;&gt; 'TradePayablesNoncurrent')::NUMERIC, 0) / 10000000, 2) AS TradePayablesNoncurrent_crore,
    ROUND(COALESCE((bs.consolidated_json -&gt;&gt; 'OtherNoncurrentFinancialLiabilities')::NUMERIC, 0) / 10000000, 2) AS OtherNoncurrentFinancialLiabilities_crore,
    ROUND(COALESCE((bs.consolidated_json -&gt;&gt; 'ProvisionsNoncurrent')::NUMERIC, 0) / 10000000, 2) AS ProvisionsNoncurrent_crore,
    ROUND(COALESCE((bs.consolidated_json -&gt;&gt; 'DebtSecurities')::NUMERIC, 0) / 10000000, 2) AS DebtSecurities_crore,
    ROUND(COALESCE((bs.consolidated_json -&gt;&gt; 'SubordinatedLiabilities')::NUMERIC, 0) / 10000000, 2) AS SubordinatedLiabilities_crore,
    ROUND(COALESCE((bs.consolidated_json -&gt;&gt; 'OtherNonFinancialLiabilities')::NUMERIC, 0) / 10000000, 2) AS OtherNonFinancialLiabilities_crore,
    ROUND(COALESCE((bs.consolidated_json -&gt;&gt; 'DeferredTaxLiabilitiesNet')::NUMERIC, 0) / 10000000, 2) AS DeferredTaxLiabilitiesNet_crore,
    ROUND(COALESCE((bs.consolidated_json -&gt;&gt; 'DeferredGovernmentGrantsNoncurrent')::NUMERIC, 0) / 10000000, 2) AS DeferredGovernmentGrantsNoncurrent_crore,
    ROUND(COALESCE((bs.consolidated_json -&gt;&gt; 'OtherNoncurrentLiabilities')::NUMERIC, 0) / 10000000, 2) AS OtherNoncurrentLiabilities_crore,
	ROUND(COALESCE((bs.consolidated_json -&gt;&gt; 'TotalOutstandingDuesOfMicroEnterpriseAndSmallEnterpriseNoncurrent')::NUMERIC, 0) / 10000000, 2) AS Dues1_crore,
    ROUND(COALESCE((bs.consolidated_json -&gt;&gt; 'TotalOutstandingDuesOfCreditorsOtherThanMicroEnterpriseAndSmallEnterpriseNoncurrent')::NUMERIC, 0) / 10000000, 2) AS Dues2_crore,
    ROUND(COALESCE((bs.consolidated_json -&gt;&gt; 'NoncurrentLiabilities')::NUMERIC, 0) / 10000000, 2) AS NoncurrentLiabilities_crore,
    ROUND(COALESCE((bs.consolidated_json -&gt;&gt; 'OtherFinancialLiabilities')::NUMERIC, 0) / 10000000, 2) AS OtherFinancialLiabilities_crore,
    ROUND(COALESCE((bs.consolidated_json -&gt;&gt; 'Borrowings')::NUMERIC, 0) / 10000000, 2) AS Borrowings_crore,
	ROUND(COALESCE((bs.consolidated_json -&gt;&gt; 'Provisions')::NUMERIC, 0) / 10000000, 2) AS Provisions_crore,
--Print the sum of the non-current liabilities fields 
	ROUND((
    COALESCE((bs.consolidated_json -&gt;&gt; 'BorrowingsNoncurrent')::NUMERIC, 0) +
    COALESCE((bs.consolidated_json -&gt;&gt; 'TradePayablesNoncurrent')::NUMERIC, 0) +
    COALESCE((bs.consolidated_json -&gt;&gt; 'OtherNoncurrentFinancialLiabilities')::NUMERIC, 0) +
    COALESCE((bs.consolidated_json -&gt;&gt; 'ProvisionsNoncurrent')::NUMERIC, 0) +
    COALESCE((bs.consolidated_json -&gt;&gt; 'DebtSecurities')::NUMERIC, 0) +
    COALESCE((bs.consolidated_json -&gt;&gt; 'SubordinatedLiabilities')::NUMERIC, 0) +
    COALESCE((bs.consolidated_json -&gt;&gt; 'OtherNonFinancialLiabilities')::NUMERIC, 0) +
    COALESCE((bs.consolidated_json -&gt;&gt; 'DeferredTaxLiabilitiesNet')::NUMERIC, 0) +
    COALESCE((bs.consolidated_json -&gt;&gt; 'DeferredGovernmentGrantsNoncurrent')::NUMERIC, 0) +
    COALESCE((bs.consolidated_json -&gt;&gt; 'OtherNoncurrentLiabilities')::NUMERIC, 0)
) / 10000000, 2) AS SumOfNonCurrentLiabilities_crore
FROM public.balance_sheets bs
JOIN public.company_profiles cp ON bs.stock_symbol = cp.stock_symbol
WHERE
    ROUND((
        COALESCE((bs.consolidated_json -&gt;&gt; 'BorrowingsNoncurrent')::NUMERIC, 0) +
        --COALESCE((bs.consolidated_json -&gt;&gt; 'Borrowings')::NUMERIC, 0) +		
        COALESCE((bs.consolidated_json -&gt;&gt; 'TradePayablesNoncurrent')::NUMERIC, 0) +
        COALESCE((bs.consolidated_json -&gt;&gt; 'OtherNoncurrentFinancialLiabilities')::NUMERIC, 0) +
        --COALESCE((bs.consolidated_json -&gt;&gt; 'OtherFinancialLiabilities')::NUMERIC, 0) +
        COALESCE((bs.consolidated_json -&gt;&gt; 'ProvisionsNoncurrent')::NUMERIC, 0) +
        --COALESCE((bs.consolidated_json -&gt;&gt; 'Provisions')::NUMERIC, 0) +
        COALESCE((bs.consolidated_json -&gt;&gt; 'DebtSecurities')::NUMERIC, 0) +
        COALESCE((bs.consolidated_json -&gt;&gt; 'SubordinatedLiabilities')::NUMERIC, 0) +
        COALESCE((bs.consolidated_json -&gt;&gt; 'OtherNonFinancialLiabilities')::NUMERIC, 0) +
        COALESCE((bs.consolidated_json -&gt;&gt; 'DeferredTaxLiabilitiesNet')::NUMERIC, 0) +
        COALESCE((bs.consolidated_json -&gt;&gt; 'DeferredGovernmentGrantsNoncurrent')::NUMERIC, 0) +
        COALESCE((bs.consolidated_json -&gt;&gt; 'OtherNoncurrentLiabilities')::NUMERIC, 0)
		--COALESCE((bs.consolidated_json -&gt;&gt; 'TotalOutstandingDuesOfMicroEnterpriseAndSmallEnterpriseNoncurrent')::NUMERIC, 0) +
        --COALESCE((bs.consolidated_json -&gt;&gt; 'TotalOutstandingDuesOfCreditorsOtherThanMicroEnterpriseAndSmallEnterpriseNoncurrent')::NUMERIC, 0)
    ) / 10000000, 2)
    &lt;&gt; ROUND(COALESCE((bs.consolidated_json -&gt;&gt; 'NoncurrentLiabilities')::NUMERIC, 0) / 10000000, 2)
    AND cp.industry not in ('Banks','Insurance') 
ORDER BY cp.market_cap DESC;</t>
  </si>
  <si>
    <t xml:space="preserve">5-8
</t>
  </si>
  <si>
    <t>SELECT
    bs.stock_symbol, bs.updated_at,
    bs.to_date,
    bs.period,
    ROUND(cp.market_cap, 2) AS market_cap_crore,
    -- Individual fields in crore
    ROUND((bs.standalone_json -&gt;&gt; 'CurrentAssets')::NUMERIC / 10000000, 2) AS CurrentAssets_crore,
    ROUND((bs.standalone_json -&gt;&gt; 'Inventories')::NUMERIC / 10000000, 2) AS Inventories_crore,
    ROUND((bs.standalone_json -&gt;&gt; 'TradeReceivablesCurrent')::NUMERIC / 10000000, 2) AS TradeReceivablesCurrent_crore,
    ROUND((bs.standalone_json -&gt;&gt; 'CashAndCashEquivalents')::NUMERIC / 10000000, 2) AS CashAndCashEquivalents_crore,
    ROUND((bs.standalone_json -&gt;&gt; 'BankBalanceOtherThanCashAndCashEquivalents')::NUMERIC / 10000000, 2) AS BankBalance_crore,
    ROUND((bs.standalone_json -&gt;&gt; 'DerivativeFinancialInstrumentsFinancialAssets')::NUMERIC / 10000000, 2) AS DerivativeFinancialInstruments_crore,
    ROUND((bs.standalone_json -&gt;&gt; 'CurrentInvestments')::NUMERIC / 10000000, 2) AS CurrentInvestments_crore,
    ROUND((bs.standalone_json -&gt;&gt; 'LoansCurrent')::NUMERIC / 10000000, 2) AS LoansCurrent_crore,
    ROUND((bs.standalone_json -&gt;&gt; 'OtherCurrentFinancialAssets')::NUMERIC / 10000000, 2) AS OtherCurrentFinancialAssets_crore,
    ROUND((bs.standalone_json -&gt;&gt; 'CurrentTaxAssetsNet')::NUMERIC / 10000000, 2) AS CurrentTaxAssetsNet_crore,
    ROUND((bs.standalone_json -&gt;&gt; 'OtherCurrentAssets')::NUMERIC / 10000000, 2) AS OtherCurrentAssets_crore,
    ROUND((bs.standalone_json -&gt;&gt; 'CurrentTaxAssets')::NUMERIC / 10000000, 2) AS CurrentTaxAssets_crore,
    ROUND((bs.standalone_json -&gt;&gt; 'NoncurrentAssetsClassifiedAsHeldForSale')::NUMERIC / 10000000, 2) AS AssetsHeldForSale_crore,
    ROUND((bs.standalone_json -&gt;&gt; 'RegulatoryDeferralAccountDebitBalancesAndRelatedDeferredTaxAssets')::NUMERIC / 10000000, 2) AS RegulatoryDeferralDebitBalances_crore,
    -- Sum of components in crore
    ROUND((
        COALESCE((bs.standalone_json -&gt;&gt; 'Inventories')::NUMERIC, 0) +
        COALESCE((bs.standalone_json -&gt;&gt; 'TradeReceivablesCurrent')::NUMERIC, 0) +
        COALESCE((bs.standalone_json -&gt;&gt; 'CashAndCashEquivalents')::NUMERIC, 0) +
        COALESCE((bs.standalone_json -&gt;&gt; 'BankBalanceOtherThanCashAndCashEquivalents')::NUMERIC, 0) +
        COALESCE((bs.standalone_json -&gt;&gt; 'DerivativeFinancialInstrumentsFinancialAssets')::NUMERIC, 0) +
        COALESCE((bs.standalone_json -&gt;&gt; 'CurrentInvestments')::NUMERIC, 0) +
        COALESCE((bs.standalone_json -&gt;&gt; 'LoansCurrent')::NUMERIC, 0) +
        COALESCE((bs.standalone_json -&gt;&gt; 'OtherCurrentFinancialAssets')::NUMERIC, 0) +
        COALESCE((bs.standalone_json -&gt;&gt; 'CurrentTaxAssetsNet')::NUMERIC, 0) +
        COALESCE((bs.standalone_json -&gt;&gt; 'OtherCurrentAssets')::NUMERIC, 0) +
        COALESCE((bs.standalone_json -&gt;&gt; 'NoncurrentAssetsClassifiedAsHeldForSale')::NUMERIC, 0) +
        COALESCE((bs.standalone_json -&gt;&gt; 'RegulatoryDeferralAccountDebitBalancesAndRelatedDeferredTaxAssets')::NUMERIC, 0)
    ) / 10000000, 2) AS current_assets_sum_crore 
FROM public.balance_sheets bs
JOIN public.company_profiles cp ON bs.stock_symbol = cp.stock_symbol
WHERE
    ROUND((
        COALESCE((bs.standalone_json -&gt;&gt; 'Inventories')::NUMERIC, 0) +
        COALESCE((bs.standalone_json -&gt;&gt; 'TradeReceivablesCurrent')::NUMERIC, 0) +
        COALESCE((bs.standalone_json -&gt;&gt; 'CashAndCashEquivalents')::NUMERIC, 0) +
        COALESCE((bs.standalone_json -&gt;&gt; 'BankBalanceOtherThanCashAndCashEquivalents')::NUMERIC, 0) +
        COALESCE((bs.standalone_json -&gt;&gt; 'DerivativeFinancialInstrumentsFinancialAssets')::NUMERIC, 0) +
        COALESCE((bs.standalone_json -&gt;&gt; 'CurrentInvestments')::NUMERIC, 0) +
        COALESCE((bs.standalone_json -&gt;&gt; 'LoansCurrent')::NUMERIC, 0) +
        COALESCE((bs.standalone_json -&gt;&gt; 'OtherCurrentFinancialAssets')::NUMERIC, 0) +
        --COALESCE((bs.standalone_json -&gt;&gt; 'CurrentTaxAssets')::NUMERIC, 0) +
        COALESCE((bs.standalone_json -&gt;&gt; 'CurrentTaxAssetsNet')::NUMERIC, 0) +
        COALESCE((bs.standalone_json -&gt;&gt; 'OtherCurrentAssets')::NUMERIC, 0)
        --COALESCE((bs.standalone_json -&gt;&gt; 'NoncurrentAssetsClassifiedAsHeldForSale')::NUMERIC, 0) +
        --COALESCE((bs.standalone_json -&gt;&gt; 'RegulatoryDeferralAccountDebitBalancesAndRelatedDeferredTaxAssets')::NUMERIC, 0)
    ) / 10000000, 2)
    &lt;&gt; ROUND((bs.standalone_json -&gt;&gt; 'CurrentAssets')::NUMERIC / 10000000, 2)
    AND cp.industry not in ('Banks','Insurance') and period = 'Annual' --and bs.updated_at &gt;= '2025-08-01'
ORDER BY cp.market_cap DESC;</t>
  </si>
  <si>
    <t>SELECT
    bs.stock_symbol, bs.updated_at,
    bs.to_date,
    bs.period,
    ROUND(cp.market_cap, 2) AS market_cap_crore,
    -- Individual fields in crore
    ROUND((bs.consolidated_json -&gt;&gt; 'CurrentAssets')::NUMERIC / 10000000, 2) AS CurrentAssets_crore,
    ROUND((bs.consolidated_json -&gt;&gt; 'Inventories')::NUMERIC / 10000000, 2) AS Inventories_crore,
    ROUND((bs.consolidated_json -&gt;&gt; 'TradeReceivablesCurrent')::NUMERIC / 10000000, 2) AS TradeReceivablesCurrent_crore,
    ROUND((bs.consolidated_json -&gt;&gt; 'CashAndCashEquivalents')::NUMERIC / 10000000, 2) AS CashAndCashEquivalents_crore,
    ROUND((bs.consolidated_json -&gt;&gt; 'BankBalanceOtherThanCashAndCashEquivalents')::NUMERIC / 10000000, 2) AS BankBalance_crore,
    ROUND((bs.consolidated_json -&gt;&gt; 'DerivativeFinancialInstrumentsFinancialAssets')::NUMERIC / 10000000, 2) AS DerivativeFinancialInstruments_crore,
    ROUND((bs.consolidated_json -&gt;&gt; 'CurrentInvestments')::NUMERIC / 10000000, 2) AS CurrentInvestments_crore,
    ROUND((bs.consolidated_json -&gt;&gt; 'LoansCurrent')::NUMERIC / 10000000, 2) AS LoansCurrent_crore,
    ROUND((bs.consolidated_json -&gt;&gt; 'OtherCurrentFinancialAssets')::NUMERIC / 10000000, 2) AS OtherCurrentFinancialAssets_crore,
    ROUND((bs.consolidated_json -&gt;&gt; 'CurrentTaxAssetsNet')::NUMERIC / 10000000, 2) AS CurrentTaxAssetsNet_crore,
    ROUND((bs.consolidated_json -&gt;&gt; 'OtherCurrentAssets')::NUMERIC / 10000000, 2) AS OtherCurrentAssets_crore,
    ROUND((bs.consolidated_json -&gt;&gt; 'CurrentTaxAssets')::NUMERIC / 10000000, 2) AS CurrentTaxAssets_crore,
    ROUND((bs.consolidated_json -&gt;&gt; 'NoncurrentAssetsClassifiedAsHeldForSale')::NUMERIC / 10000000, 2) AS AssetsHeldForSale_crore,
    ROUND((bs.consolidated_json -&gt;&gt; 'RegulatoryDeferralAccountDebitBalancesAndRelatedDeferredTaxAssets')::NUMERIC / 10000000, 2) AS RegulatoryDeferralDebitBalances_crore,
    -- Sum of components in crore
    ROUND((
        COALESCE((bs.consolidated_json -&gt;&gt; 'Inventories')::NUMERIC, 0) +
        COALESCE((bs.consolidated_json -&gt;&gt; 'TradeReceivablesCurrent')::NUMERIC, 0) +
        COALESCE((bs.consolidated_json -&gt;&gt; 'CashAndCashEquivalents')::NUMERIC, 0) +
        COALESCE((bs.consolidated_json -&gt;&gt; 'BankBalanceOtherThanCashAndCashEquivalents')::NUMERIC, 0) +
        COALESCE((bs.consolidated_json -&gt;&gt; 'DerivativeFinancialInstrumentsFinancialAssets')::NUMERIC, 0) +
        COALESCE((bs.consolidated_json -&gt;&gt; 'CurrentInvestments')::NUMERIC, 0) +
        COALESCE((bs.consolidated_json -&gt;&gt; 'LoansCurrent')::NUMERIC, 0) +
        COALESCE((bs.consolidated_json -&gt;&gt; 'OtherCurrentFinancialAssets')::NUMERIC, 0) +
        COALESCE((bs.consolidated_json -&gt;&gt; 'CurrentTaxAssetsNet')::NUMERIC, 0) +
        COALESCE((bs.consolidated_json -&gt;&gt; 'OtherCurrentAssets')::NUMERIC, 0) +
        COALESCE((bs.consolidated_json -&gt;&gt; 'NoncurrentAssetsClassifiedAsHeldForSale')::NUMERIC, 0) +
        COALESCE((bs.consolidated_json -&gt;&gt; 'RegulatoryDeferralAccountDebitBalancesAndRelatedDeferredTaxAssets')::NUMERIC, 0)
    ) / 10000000, 2) AS current_assets_sum_crore 
FROM public.balance_sheets bs
JOIN public.company_profiles cp ON bs.stock_symbol = cp.stock_symbol
WHERE
    ROUND((
        COALESCE((bs.consolidated_json -&gt;&gt; 'Inventories')::NUMERIC, 0) +
        COALESCE((bs.consolidated_json -&gt;&gt; 'TradeReceivablesCurrent')::NUMERIC, 0) +
        COALESCE((bs.consolidated_json -&gt;&gt; 'CashAndCashEquivalents')::NUMERIC, 0) +
        COALESCE((bs.consolidated_json -&gt;&gt; 'BankBalanceOtherThanCashAndCashEquivalents')::NUMERIC, 0) +
        COALESCE((bs.consolidated_json -&gt;&gt; 'DerivativeFinancialInstrumentsFinancialAssets')::NUMERIC, 0) +
        COALESCE((bs.consolidated_json -&gt;&gt; 'CurrentInvestments')::NUMERIC, 0) +
        COALESCE((bs.consolidated_json -&gt;&gt; 'LoansCurrent')::NUMERIC, 0) +
        COALESCE((bs.consolidated_json -&gt;&gt; 'OtherCurrentFinancialAssets')::NUMERIC, 0) +
        --COALESCE((bs.consolidated_json -&gt;&gt; 'CurrentTaxAssets')::NUMERIC, 0) +
        COALESCE((bs.consolidated_json -&gt;&gt; 'CurrentTaxAssetsNet')::NUMERIC, 0) +
        COALESCE((bs.consolidated_json -&gt;&gt; 'OtherCurrentAssets')::NUMERIC, 0)
        --COALESCE((bs.consolidated_json -&gt;&gt; 'NoncurrentAssetsClassifiedAsHeldForSale')::NUMERIC, 0) +
        --COALESCE((bs.consolidated_json -&gt;&gt; 'RegulatoryDeferralAccountDebitBalancesAndRelatedDeferredTaxAssets')::NUMERIC, 0)
    ) / 10000000, 2)
    &lt;&gt; ROUND((bs.consolidated_json -&gt;&gt; 'CurrentAssets')::NUMERIC / 10000000, 2)
    AND cp.industry not in ('Banks','Insurance') --and bs.updated_at &gt;= '2025-08-01'
ORDER BY cp.market_cap DESC;</t>
  </si>
  <si>
    <t xml:space="preserve">1-3
</t>
  </si>
  <si>
    <t>SELECT
    bs.stock_symbol, bs.updated_at, 
    bs.to_date,
    bs.period,
    ROUND(cp.market_cap, 2) AS market_cap_crore,
    -- Individual fields in crore
    ROUND((bs.standalone_json -&gt;&gt; 'PropertyPlantAndEquipment')::NUMERIC / 10000000, 2) AS PropertyPlantAndEquipment_crore,
    ROUND((bs.standalone_json -&gt;&gt; 'CapitalWorkInProgress')::NUMERIC / 10000000, 2) AS CapitalWorkInProgress_crore,
    ROUND((bs.standalone_json -&gt;&gt; 'InvestmentProperty')::NUMERIC / 10000000, 2) AS InvestmentProperty_crore,
    ROUND((bs.standalone_json -&gt;&gt; 'Goodwill')::NUMERIC / 10000000, 2) AS Goodwill_crore,
    ROUND((bs.standalone_json -&gt;&gt; 'OtherIntangibleAssets')::NUMERIC / 10000000, 2) AS OtherIntangibleAssets_crore,
    ROUND((bs.standalone_json -&gt;&gt; 'IntangibleAssetsUnderDevelopment')::NUMERIC / 10000000, 2) AS IntangibleAssetsUnderDevelopment_crore,
    ROUND((bs.standalone_json -&gt;&gt; 'BiologicalAssetsOtherThanBearerPlants')::NUMERIC / 10000000, 2) AS BiologicalAssetsOtherThanBearerPlants_crore,
    ROUND((bs.standalone_json -&gt;&gt; 'InvestmentsAccountedForUsingEquityMethod')::NUMERIC / 10000000, 2) AS InvestmentsAccountedForUsingEquityMethod_crore,
    ROUND((bs.standalone_json -&gt;&gt; 'NoncurrentInvestments')::NUMERIC / 10000000, 2) AS NoncurrentInvestments_crore,
    ROUND((bs.standalone_json -&gt;&gt; 'TradeReceivablesNoncurrent')::NUMERIC / 10000000, 2) AS TradeReceivablesNoncurrent_crore,
    ROUND((bs.standalone_json -&gt;&gt; 'LoansNoncurrent')::NUMERIC / 10000000, 2) AS LoansNoncurrent_crore,
    ROUND((bs.standalone_json -&gt;&gt; 'OtherReceivables')::NUMERIC / 10000000, 2) AS OtherReceivables_crore,
    ROUND((bs.standalone_json -&gt;&gt; 'OtherNonFinancialAssets')::NUMERIC / 10000000, 2) AS OtherNonFinancialAssets_crore,
    ROUND((bs.standalone_json -&gt;&gt; 'OtherNoncurrentFinancialAssets')::NUMERIC / 10000000, 2) AS OtherNoncurrentFinancialAssets_crore,
    ROUND((bs.standalone_json -&gt;&gt; 'DeferredTaxAssetsNet')::NUMERIC / 10000000, 2) AS DeferredTaxAssetsNet_crore,
    ROUND((bs.standalone_json -&gt;&gt; 'OtherNoncurrentAssets')::NUMERIC / 10000000, 2) AS OtherNoncurrentAssets_crore,
    ROUND((bs.standalone_json -&gt;&gt; 'NoncurrentAssets')::NUMERIC / 10000000, 2) AS NoncurrentAssets_crore,
	ROUND((bs.standalone_json -&gt;&gt; 'Loans')::NUMERIC / 10000000, 2) AS Loans_crore,
    ROUND((bs.standalone_json -&gt;&gt; 'Investments')::NUMERIC / 10000000, 2) AS Investments_crore,
    ROUND((bs.standalone_json -&gt;&gt; 'OtherFinancialAssets')::NUMERIC / 10000000, 2) AS OtherFinancialAssets_crore,
    -- Sum of all fields in crore
    ROUND((
        COALESCE((bs.standalone_json -&gt;&gt; 'PropertyPlantAndEquipment')::NUMERIC, 0) +
        COALESCE((bs.standalone_json -&gt;&gt; 'CapitalWorkInProgress')::NUMERIC, 0) +
        COALESCE((bs.standalone_json -&gt;&gt; 'InvestmentProperty')::NUMERIC, 0) +
        COALESCE((bs.standalone_json -&gt;&gt; 'Goodwill')::NUMERIC, 0) +
        COALESCE((bs.standalone_json -&gt;&gt; 'OtherIntangibleAssets')::NUMERIC, 0) +
        COALESCE((bs.standalone_json -&gt;&gt; 'IntangibleAssetsUnderDevelopment')::NUMERIC, 0) +
        COALESCE((bs.standalone_json -&gt;&gt; 'BiologicalAssetsOtherThanBearerPlants')::NUMERIC, 0) +
        COALESCE((bs.standalone_json -&gt;&gt; 'InvestmentsAccountedForUsingEquityMethod')::NUMERIC, 0) +
        COALESCE((bs.standalone_json -&gt;&gt; 'NoncurrentInvestments')::NUMERIC, 0) +
        COALESCE((bs.standalone_json -&gt;&gt; 'TradeReceivablesNoncurrent')::NUMERIC, 0) +
        COALESCE((bs.standalone_json -&gt;&gt; 'LoansNoncurrent')::NUMERIC, 0) +
        COALESCE((bs.standalone_json -&gt;&gt; 'OtherReceivables')::NUMERIC, 0) +
        --COALESCE((bs.standalone_json -&gt;&gt; 'Loans')::NUMERIC, 0) +
        --COALESCE((bs.standalone_json -&gt;&gt; 'Investments')::NUMERIC, 0) +
        --COALESCE((bs.standalone_json -&gt;&gt; 'OtherFinancialAssets')::NUMERIC, 0) +
        COALESCE((bs.standalone_json -&gt;&gt; 'OtherNonFinancialAssets')::NUMERIC, 0) +
        COALESCE((bs.standalone_json -&gt;&gt; 'OtherNoncurrentFinancialAssets')::NUMERIC, 0) +
        COALESCE((bs.standalone_json -&gt;&gt; 'DeferredTaxAssetsNet')::NUMERIC, 0) +
        COALESCE((bs.standalone_json -&gt;&gt; 'OtherNoncurrentAssets')::NUMERIC, 0)
    ) / 10000000, 2) AS noncurrent_assets_sum_crore
FROM public.balance_sheets bs
JOIN public.company_profiles cp ON bs.stock_symbol = cp.stock_symbol
WHERE
    -- Filter where sum of individual items ≠ NoncurrentAssets (both in crore)
    ROUND((
        COALESCE((bs.standalone_json -&gt;&gt; 'PropertyPlantAndEquipment')::NUMERIC, 0) +
        COALESCE((bs.standalone_json -&gt;&gt; 'CapitalWorkInProgress')::NUMERIC, 0) +
        COALESCE((bs.standalone_json -&gt;&gt; 'InvestmentProperty')::NUMERIC, 0) +
        COALESCE((bs.standalone_json -&gt;&gt; 'Goodwill')::NUMERIC, 0) +
        COALESCE((bs.standalone_json -&gt;&gt; 'OtherIntangibleAssets')::NUMERIC, 0) +
        COALESCE((bs.standalone_json -&gt;&gt; 'IntangibleAssetsUnderDevelopment')::NUMERIC, 0) +
        COALESCE((bs.standalone_json -&gt;&gt; 'BiologicalAssetsOtherThanBearerPlants')::NUMERIC, 0) +
        COALESCE((bs.standalone_json -&gt;&gt; 'InvestmentsAccountedForUsingEquityMethod')::NUMERIC, 0) +
        COALESCE((bs.standalone_json -&gt;&gt; 'NoncurrentInvestments')::NUMERIC, 0) +
        COALESCE((bs.standalone_json -&gt;&gt; 'TradeReceivablesNoncurrent')::NUMERIC, 0) +
        COALESCE((bs.standalone_json -&gt;&gt; 'LoansNoncurrent')::NUMERIC, 0) +
        COALESCE((bs.standalone_json -&gt;&gt; 'OtherReceivables')::NUMERIC, 0) +
        --COALESCE((bs.standalone_json -&gt;&gt; 'Loans')::NUMERIC, 0) +
        --COALESCE((bs.standalone_json -&gt;&gt; 'Investments')::NUMERIC, 0) +
        --COALESCE((bs.standalone_json -&gt;&gt; 'OtherFinancialAssets')::NUMERIC, 0) +
        COALESCE((bs.standalone_json -&gt;&gt; 'OtherNonFinancialAssets')::NUMERIC, 0) +
        COALESCE((bs.standalone_json -&gt;&gt; 'OtherNoncurrentFinancialAssets')::NUMERIC, 0) +
        COALESCE((bs.standalone_json -&gt;&gt; 'DeferredTaxAssetsNet')::NUMERIC, 0) +
        COALESCE((bs.standalone_json -&gt;&gt; 'OtherNoncurrentAssets')::NUMERIC, 0)
    ) / 10000000, 2)
    &lt;&gt; ROUND((bs.standalone_json -&gt;&gt; 'NoncurrentAssets')::NUMERIC / 10000000, 2)
    AND cp.industry not in ('Banks','Insurance') and bs.period = 'Annual'--AND bs.updated_at &gt;= '2025-08-01' and 
ORDER BY cp.market_cap DESC;</t>
  </si>
  <si>
    <t>SELECT
    bs.stock_symbol, bs.updated_at,
    bs.to_date,
    bs.period,
    ROUND(cp.market_cap, 2) AS market_cap_crore,
    -- Individual fields in crore
    ROUND((bs.consolidated_json -&gt;&gt; 'PropertyPlantAndEquipment')::NUMERIC / 10000000, 2) AS PropertyPlantAndEquipment_crore,
    ROUND((bs.consolidated_json -&gt;&gt; 'CapitalWorkInProgress')::NUMERIC / 10000000, 2) AS CapitalWorkInProgress_crore,
    ROUND((bs.consolidated_json -&gt;&gt; 'InvestmentProperty')::NUMERIC / 10000000, 2) AS InvestmentProperty_crore,
    ROUND((bs.consolidated_json -&gt;&gt; 'Goodwill')::NUMERIC / 10000000, 2) AS Goodwill_crore,
    ROUND((bs.consolidated_json -&gt;&gt; 'OtherIntangibleAssets')::NUMERIC / 10000000, 2) AS OtherIntangibleAssets_crore,
    ROUND((bs.consolidated_json -&gt;&gt; 'IntangibleAssetsUnderDevelopment')::NUMERIC / 10000000, 2) AS IntangibleAssetsUnderDevelopment_crore,
    ROUND((bs.consolidated_json -&gt;&gt; 'BiologicalAssetsOtherThanBearerPlants')::NUMERIC / 10000000, 2) AS BiologicalAssetsOtherThanBearerPlants_crore,
    ROUND((bs.consolidated_json -&gt;&gt; 'InvestmentsAccountedForUsingEquityMethod')::NUMERIC / 10000000, 2) AS InvestmentsAccountedForUsingEquityMethod_crore,
    ROUND((bs.consolidated_json -&gt;&gt; 'NoncurrentInvestments')::NUMERIC / 10000000, 2) AS NoncurrentInvestments_crore,
    ROUND((bs.consolidated_json -&gt;&gt; 'TradeReceivablesNoncurrent')::NUMERIC / 10000000, 2) AS TradeReceivablesNoncurrent_crore,
    ROUND((bs.consolidated_json -&gt;&gt; 'LoansNoncurrent')::NUMERIC / 10000000, 2) AS LoansNoncurrent_crore,
    ROUND((bs.consolidated_json -&gt;&gt; 'OtherReceivables')::NUMERIC / 10000000, 2) AS OtherReceivables_crore,
    ROUND((bs.consolidated_json -&gt;&gt; 'OtherNonFinancialAssets')::NUMERIC / 10000000, 2) AS OtherNonFinancialAssets_crore,
    ROUND((bs.consolidated_json -&gt;&gt; 'OtherNoncurrentFinancialAssets')::NUMERIC / 10000000, 2) AS OtherNoncurrentFinancialAssets_crore,
    ROUND((bs.consolidated_json -&gt;&gt; 'DeferredTaxAssetsNet')::NUMERIC / 10000000, 2) AS DeferredTaxAssetsNet_crore,
    ROUND((bs.consolidated_json -&gt;&gt; 'OtherNoncurrentAssets')::NUMERIC / 10000000, 2) AS OtherNoncurrentAssets_crore,
    ROUND((bs.consolidated_json -&gt;&gt; 'NoncurrentAssets')::NUMERIC / 10000000, 2) AS NoncurrentAssets_crore,
	ROUND((bs.consolidated_json -&gt;&gt; 'Loans')::NUMERIC / 10000000, 2) AS Loans_crore,
    ROUND((bs.consolidated_json -&gt;&gt; 'Investments')::NUMERIC / 10000000, 2) AS Investments_crore,
    ROUND((bs.consolidated_json -&gt;&gt; 'OtherFinancialAssets')::NUMERIC / 10000000, 2) AS OtherFinancialAssets_crore,
    -- Sum of all fields in crore
    ROUND((
        COALESCE((bs.consolidated_json -&gt;&gt; 'PropertyPlantAndEquipment')::NUMERIC, 0) +
        COALESCE((bs.consolidated_json -&gt;&gt; 'CapitalWorkInProgress')::NUMERIC, 0) +
        COALESCE((bs.consolidated_json -&gt;&gt; 'InvestmentProperty')::NUMERIC, 0) +
        COALESCE((bs.consolidated_json -&gt;&gt; 'Goodwill')::NUMERIC, 0) +
        COALESCE((bs.consolidated_json -&gt;&gt; 'OtherIntangibleAssets')::NUMERIC, 0) +
        COALESCE((bs.consolidated_json -&gt;&gt; 'IntangibleAssetsUnderDevelopment')::NUMERIC, 0) +
        COALESCE((bs.consolidated_json -&gt;&gt; 'BiologicalAssetsOtherThanBearerPlants')::NUMERIC, 0) +
        COALESCE((bs.consolidated_json -&gt;&gt; 'InvestmentsAccountedForUsingEquityMethod')::NUMERIC, 0) +
        COALESCE((bs.consolidated_json -&gt;&gt; 'NoncurrentInvestments')::NUMERIC, 0) +
        COALESCE((bs.consolidated_json -&gt;&gt; 'TradeReceivablesNoncurrent')::NUMERIC, 0) +
        COALESCE((bs.consolidated_json -&gt;&gt; 'LoansNoncurrent')::NUMERIC, 0) +
        COALESCE((bs.consolidated_json -&gt;&gt; 'OtherReceivables')::NUMERIC, 0) +
        --COALESCE((bs.consolidated_json -&gt;&gt; 'Loans')::NUMERIC, 0) +
        --COALESCE((bs.consolidated_json -&gt;&gt; 'Investments')::NUMERIC, 0) +
        --COALESCE((bs.consolidated_json -&gt;&gt; 'OtherFinancialAssets')::NUMERIC, 0) +
        COALESCE((bs.consolidated_json -&gt;&gt; 'OtherNonFinancialAssets')::NUMERIC, 0) +
        COALESCE((bs.consolidated_json -&gt;&gt; 'OtherNoncurrentFinancialAssets')::NUMERIC, 0) +
        COALESCE((bs.consolidated_json -&gt;&gt; 'DeferredTaxAssetsNet')::NUMERIC, 0) +
        COALESCE((bs.consolidated_json -&gt;&gt; 'OtherNoncurrentAssets')::NUMERIC, 0)
    ) / 10000000, 2) AS noncurrent_assets_sum_crore
FROM public.balance_sheets bs
JOIN public.company_profiles cp ON bs.stock_symbol = cp.stock_symbol
WHERE
    -- Filter where sum of individual items ≠ NoncurrentAssets (both in crore)
    ROUND((
        COALESCE((bs.consolidated_json -&gt;&gt; 'PropertyPlantAndEquipment')::NUMERIC, 0) +
        COALESCE((bs.consolidated_json -&gt;&gt; 'CapitalWorkInProgress')::NUMERIC, 0) +
        COALESCE((bs.consolidated_json -&gt;&gt; 'InvestmentProperty')::NUMERIC, 0) +
        COALESCE((bs.consolidated_json -&gt;&gt; 'Goodwill')::NUMERIC, 0) +
        COALESCE((bs.consolidated_json -&gt;&gt; 'OtherIntangibleAssets')::NUMERIC, 0) +
        COALESCE((bs.consolidated_json -&gt;&gt; 'IntangibleAssetsUnderDevelopment')::NUMERIC, 0) +
        COALESCE((bs.consolidated_json -&gt;&gt; 'BiologicalAssetsOtherThanBearerPlants')::NUMERIC, 0) +
        COALESCE((bs.consolidated_json -&gt;&gt; 'InvestmentsAccountedForUsingEquityMethod')::NUMERIC, 0) +
        COALESCE((bs.consolidated_json -&gt;&gt; 'NoncurrentInvestments')::NUMERIC, 0) +
        COALESCE((bs.consolidated_json -&gt;&gt; 'TradeReceivablesNoncurrent')::NUMERIC, 0) +
        COALESCE((bs.consolidated_json -&gt;&gt; 'LoansNoncurrent')::NUMERIC, 0) +
        COALESCE((bs.consolidated_json -&gt;&gt; 'OtherReceivables')::NUMERIC, 0) +
        --COALESCE((bs.consolidated_json -&gt;&gt; 'Loans')::NUMERIC, 0) +
        --COALESCE((bs.consolidated_json -&gt;&gt; 'Investments')::NUMERIC, 0) +
        --COALESCE((bs.consolidated_json -&gt;&gt; 'OtherFinancialAssets')::NUMERIC, 0) +
        COALESCE((bs.consolidated_json -&gt;&gt; 'OtherNonFinancialAssets')::NUMERIC, 0) +
        COALESCE((bs.consolidated_json -&gt;&gt; 'OtherNoncurrentFinancialAssets')::NUMERIC, 0) +
        COALESCE((bs.consolidated_json -&gt;&gt; 'DeferredTaxAssetsNet')::NUMERIC, 0) +
        COALESCE((bs.consolidated_json -&gt;&gt; 'OtherNoncurrentAssets')::NUMERIC, 0)
    ) / 10000000, 2)
    &lt;&gt; ROUND((bs.consolidated_json -&gt;&gt; 'NoncurrentAssets')::NUMERIC / 10000000, 2)
    AND cp.industry not in ('Banks','Insurance') --AND bs.updated_at &gt;= '2025-08-01'
ORDER BY cp.market_cap DESC;</t>
  </si>
  <si>
    <t xml:space="preserve">6-1
</t>
  </si>
  <si>
    <t>SELECT
    bs.stock_symbol,
    bs.to_date,
	bs.date_header, 
    bs.period,
    ROUND(cp.market_cap, 2) AS market_cap_crore,
    ROUND(COALESCE((bs.standalone_json -&gt;&gt; 'Assets')::NUMERIC, 0) / 10000000, 2) AS Assets_crore,
	ROUND(COALESCE((bs.standalone_json -&gt;&gt; 'Equity')::NUMERIC, 0) / 10000000, 2) AS Equity,
	ROUND(COALESCE((bs.standalone_json -&gt;&gt; 'OtherEquity')::NUMERIC, 0) / 10000000, 2) AS OtherEquity,
	ROUND(COALESCE((bs.standalone_json -&gt;&gt; 'EquityShareCapital')::NUMERIC, 0) / 10000000, 2) AS EquityShareCapital,
    ROUND(COALESCE((bs.standalone_json -&gt;&gt; 'EquityAndLiabilities')::NUMERIC, 0) / 10000000, 2) AS EquityAndLiabilities_crore
FROM public.balance_sheets bs
JOIN public.company_profiles cp ON bs.stock_symbol = cp.stock_symbol
WHERE
    COALESCE((bs.standalone_json -&gt;&gt; 'Assets')::NUMERIC, 0)
    &lt;&gt; COALESCE((bs.standalone_json -&gt;&gt; 'EquityAndLiabilities')::NUMERIC, 0)
    AND cp.industry not in ('Banks','Insurance') and period = 'Annual'
ORDER BY cp.market_cap DESC;</t>
  </si>
  <si>
    <t>SELECT
    bs.stock_symbol,
    bs.to_date,
	bs.date_header, 
    bs.period,
    ROUND(cp.market_cap, 2) AS market_cap_crore,
    ROUND(COALESCE((bs.consolidated_json -&gt;&gt; 'Assets')::NUMERIC, 0) / 10000000, 2) AS Assets_crore,
	ROUND(COALESCE((bs.consolidated_json -&gt;&gt; 'Equity')::NUMERIC, 0) / 10000000, 2) AS Equity,
	ROUND(COALESCE((bs.consolidated_json -&gt;&gt; 'OtherEquity')::NUMERIC, 0) / 10000000, 2) AS OtherEquity,
	ROUND(COALESCE((bs.consolidated_json -&gt;&gt; 'EquityShareCapital')::NUMERIC, 0) / 10000000, 2) AS EquityShareCapital,
    ROUND(COALESCE((bs.consolidated_json -&gt;&gt; 'EquityAndLiabilities')::NUMERIC, 0) / 10000000, 2) AS EquityAndLiabilities_crore
FROM public.balance_sheets bs
JOIN public.company_profiles cp ON bs.stock_symbol = cp.stock_symbol
WHERE
    COALESCE((bs.consolidated_json -&gt;&gt; 'Assets')::NUMERIC, 0)
    &lt;&gt; COALESCE((bs.consolidated_json -&gt;&gt; 'EquityAndLiabilities')::NUMERIC, 0)
    AND cp.industry not in ('Banks','Insurance') and period = 'Annual'
ORDER BY cp.market_cap DESC;</t>
  </si>
  <si>
    <t>SELECT
    bs.stock_symbol,
    bs.to_date, bs.date_header, 
    bs.period,
    ROUND(cp.market_cap, 2) AS market_cap_crore,
    -- Individual fields
    ROUND(COALESCE((bs.standalone_json -&gt;&gt; 'NoncurrentAssets')::NUMERIC, 0) / 10000000, 2) AS NoncurrentAssets_crore,
    ROUND(COALESCE((bs.standalone_json -&gt;&gt; 'CurrentAssets')::NUMERIC, 0) / 10000000, 2) AS CurrentAssets_crore,
    ROUND(COALESCE((bs.standalone_json -&gt;&gt; 'Assets')::NUMERIC, 0) / 10000000, 2) AS Assets_crore,
    ROUND(COALESCE((bs.standalone_json -&gt;&gt; 'NoncurrentAssetsClassifiedAsHeldForSale')::NUMERIC, 0) / 10000000, 2) AS HeldForSale_crore,
    ROUND(COALESCE((bs.standalone_json -&gt;&gt; 'RegulatoryDeferralAccountDebitBalancesAndRelatedDeferredTaxAssets')::NUMERIC, 0) / 10000000, 2) AS DeferredTaxAssets_crore,
    -- Sum of fields
    ROUND((
        COALESCE((bs.standalone_json -&gt;&gt; 'NoncurrentAssets')::NUMERIC, 0) +
        COALESCE((bs.standalone_json -&gt;&gt; 'CurrentAssets')::NUMERIC, 0) +
        COALESCE((bs.standalone_json -&gt;&gt; 'NoncurrentAssetsClassifiedAsHeldForSale')::NUMERIC, 0) +
        COALESCE((bs.standalone_json -&gt;&gt; 'RegulatoryDeferralAccountDebitBalancesAndRelatedDeferredTaxAssets')::NUMERIC, 0)
    ) / 10000000, 2) AS SumOfAssets_crore,
    -- Difference: (Sum - Assets)
    ROUND((
        (
            COALESCE((bs.standalone_json -&gt;&gt; 'NoncurrentAssets')::NUMERIC, 0) +
            COALESCE((bs.standalone_json -&gt;&gt; 'CurrentAssets')::NUMERIC, 0) +
            COALESCE((bs.standalone_json -&gt;&gt; 'NoncurrentAssetsClassifiedAsHeldForSale')::NUMERIC, 0) +
            COALESCE((bs.standalone_json -&gt;&gt; 'RegulatoryDeferralAccountDebitBalancesAndRelatedDeferredTaxAssets')::NUMERIC, 0)
        ) - COALESCE((bs.standalone_json -&gt;&gt; 'Assets')::NUMERIC, 0)
    ) / 10000000, 2) AS Difference_crore
FROM public.balance_sheets bs
JOIN public.company_profiles cp ON bs.stock_symbol = cp.stock_symbol
WHERE
    (COALESCE((bs.standalone_json -&gt;&gt; 'NoncurrentAssets')::NUMERIC, 0) +
    COALESCE((bs.standalone_json -&gt;&gt; 'CurrentAssets')::NUMERIC, 0) + 
    COALESCE((bs.standalone_json -&gt;&gt; 'NoncurrentAssetsClassifiedAsHeldForSale')::NUMERIC, 0) +
    COALESCE((bs.standalone_json -&gt;&gt; 'RegulatoryDeferralAccountDebitBalancesAndRelatedDeferredTaxAssets')::NUMERIC, 0)
    - COALESCE((bs.standalone_json -&gt;&gt; 'Assets')::NUMERIC, 0)) NOT BETWEEN -10000000 AND 10000000
    AND cp.industry not in ('Banks','Insurance') and bs.period = 'Annual'
ORDER BY cp.market_cap DESC;</t>
  </si>
  <si>
    <t>SELECT
    bs.stock_symbol,
    bs.to_date, bs.date_header, 
    bs.period,
    ROUND(cp.market_cap, 2) AS market_cap_crore,
    -- Individual fields
    ROUND(COALESCE((bs.consolidated_json -&gt;&gt; 'NoncurrentAssets')::NUMERIC, 0) / 10000000, 2) AS NoncurrentAssets_crore,
    ROUND(COALESCE((bs.consolidated_json -&gt;&gt; 'CurrentAssets')::NUMERIC, 0) / 10000000, 2) AS CurrentAssets_crore,
    ROUND(COALESCE((bs.consolidated_json -&gt;&gt; 'Assets')::NUMERIC, 0) / 10000000, 2) AS Assets_crore,
    ROUND(COALESCE((bs.consolidated_json -&gt;&gt; 'NoncurrentAssetsClassifiedAsHeldForSale')::NUMERIC, 0) / 10000000, 2) AS HeldForSale_crore,
    ROUND(COALESCE((bs.consolidated_json -&gt;&gt; 'RegulatoryDeferralAccountDebitBalancesAndRelatedDeferredTaxAssets')::NUMERIC, 0) / 10000000, 2) AS DeferredTaxAssets_crore,
    -- Sum of fields
    ROUND((
        COALESCE((bs.consolidated_json -&gt;&gt; 'NoncurrentAssets')::NUMERIC, 0) +
        COALESCE((bs.consolidated_json -&gt;&gt; 'CurrentAssets')::NUMERIC, 0) +
        COALESCE((bs.consolidated_json -&gt;&gt; 'NoncurrentAssetsClassifiedAsHeldForSale')::NUMERIC, 0) +
        COALESCE((bs.consolidated_json -&gt;&gt; 'RegulatoryDeferralAccountDebitBalancesAndRelatedDeferredTaxAssets')::NUMERIC, 0)
    ) / 10000000, 2) AS SumOfAssets_crore,
    -- Difference: (Sum - Assets)
    ROUND((
        (
            COALESCE((bs.consolidated_json -&gt;&gt; 'NoncurrentAssets')::NUMERIC, 0) +
            COALESCE((bs.consolidated_json -&gt;&gt; 'CurrentAssets')::NUMERIC, 0) +
            COALESCE((bs.consolidated_json -&gt;&gt; 'NoncurrentAssetsClassifiedAsHeldForSale')::NUMERIC, 0) +
            COALESCE((bs.consolidated_json -&gt;&gt; 'RegulatoryDeferralAccountDebitBalancesAndRelatedDeferredTaxAssets')::NUMERIC, 0)
        ) - COALESCE((bs.consolidated_json -&gt;&gt; 'Assets')::NUMERIC, 0)
    ) / 10000000, 2) AS Difference_crore
FROM public.balance_sheets bs
JOIN public.company_profiles cp ON bs.stock_symbol = cp.stock_symbol
WHERE
    (COALESCE((bs.consolidated_json -&gt;&gt; 'NoncurrentAssets')::NUMERIC, 0) +
    COALESCE((bs.consolidated_json -&gt;&gt; 'CurrentAssets')::NUMERIC, 0) + 
    COALESCE((bs.consolidated_json -&gt;&gt; 'NoncurrentAssetsClassifiedAsHeldForSale')::NUMERIC, 0) +
    COALESCE((bs.consolidated_json -&gt;&gt; 'RegulatoryDeferralAccountDebitBalancesAndRelatedDeferredTaxAssets')::NUMERIC, 0)
    - COALESCE((bs.consolidated_json -&gt;&gt; 'Assets')::NUMERIC, 0)) NOT BETWEEN -10000000 AND 10000000
    AND cp.industry not in ('Banks','Insurance') and bs.period = 'Annual'
ORDER BY cp.market_cap DESC;</t>
  </si>
  <si>
    <t>SELECT
    bs.stock_symbol,
    bs.to_date,
    bs.period,
    ROUND(cp.market_cap, 2) AS market_cap_crore,
    -- Individual Liabilities
    ROUND(COALESCE((bs.standalone_json -&gt;&gt; 'NoncurrentLiabilities')::NUMERIC, 0) / 10000000, 2) AS NoncurrentLiabilities_crore,
    ROUND(COALESCE((bs.standalone_json -&gt;&gt; 'CurrentLiabilities')::NUMERIC, 0) / 10000000, 2) AS CurrentLiabilities_crore,
    ROUND(COALESCE((bs.standalone_json -&gt;&gt; 'Liabilities')::NUMERIC, 0) / 10000000, 2) AS Liabilities_crore,
	ROUND(COALESCE((bs.standalone_json -&gt;&gt; 'LiabilitiesDirectlyAssociatedWithAssetsInDisposalGroupClassifiedAsHeldForSale')::NUMERIC, 0) / 10000000, 2) AS LiabilitiesHeldForSale_crore,
    ROUND(COALESCE((bs.standalone_json -&gt;&gt; 'RegulatoryDeferralAccountCreditBalancesAndRelatedDeferredTaxLiability')::NUMERIC, 0) / 10000000, 2) AS RegulatoryDeferralBalances_crore,
    ROUND(COALESCE((bs.standalone_json -&gt;&gt; 'Assets')::NUMERIC, 0) / 10000000, 2) AS Assets,
    -- Additional fields
    ROUND((
        COALESCE((bs.standalone_json -&gt;&gt; 'NoncurrentLiabilities')::NUMERIC, 0) +
        COALESCE((bs.standalone_json -&gt;&gt; 'CurrentLiabilities')::NUMERIC, 0)
    ) / 10000000, 2) AS TotalLiabilities_crore,
    ROUND((
        COALESCE((bs.standalone_json -&gt;&gt; 'NoncurrentLiabilities')::NUMERIC, 0) +
        COALESCE((bs.standalone_json -&gt;&gt; 'CurrentLiabilities')::NUMERIC, 0) +
        COALESCE((bs.standalone_json -&gt;&gt; 'Equity')::NUMERIC, 0)
    ) / 10000000, 2) AS TotalLiabilitiesAndEquity_crore,
    (
        (
            COALESCE((bs.standalone_json -&gt;&gt; 'NoncurrentLiabilities')::NUMERIC, 0) +
            COALESCE((bs.standalone_json -&gt;&gt; 'CurrentLiabilities')::NUMERIC, 0) +
            COALESCE((bs.standalone_json -&gt;&gt; 'Equity')::NUMERIC, 0)
        ) = COALESCE((bs.standalone_json -&gt;&gt; 'EquityAndLiabilities')::NUMERIC, 0)
    ) AS Check_Equal_EquityAndLiabilities
FROM public.balance_sheets bs
JOIN public.company_profiles cp ON bs.stock_symbol = cp.stock_symbol
WHERE
    COALESCE((bs.standalone_json -&gt;&gt; 'NoncurrentLiabilities')::NUMERIC, 0) +
    COALESCE((bs.standalone_json -&gt;&gt; 'CurrentLiabilities')::NUMERIC, 0) +
	COALESCE((bs.standalone_json -&gt;&gt; 'LiabilitiesDirectlyAssociatedWithAssetsInDisposalGroupClassifiedAsHeldForSale')::NUMERIC, 0) +
	COALESCE((bs.standalone_json -&gt;&gt; 'RegulatoryDeferralAccountCreditBalancesAndRelatedDeferredTaxLiability')::NUMERIC, 0)
    &lt;&gt; COALESCE((bs.standalone_json -&gt;&gt; 'Liabilities')::NUMERIC, 0)
    AND cp.industry not in ('Banks','Insurance')
    AND bs.period = 'Annual'
ORDER BY cp.market_cap DESC;</t>
  </si>
  <si>
    <t>SELECT
    bs.stock_symbol,
    bs.to_date,
    bs.period,
    ROUND(cp.market_cap, 2) AS market_cap_crore,
    -- Individual Liabilities
    ROUND(COALESCE((bs.consolidated_json -&gt;&gt; 'NoncurrentLiabilities')::NUMERIC, 0) / 10000000, 2) AS NoncurrentLiabilities_crore,
    ROUND(COALESCE((bs.consolidated_json -&gt;&gt; 'CurrentLiabilities')::NUMERIC, 0) / 10000000, 2) AS CurrentLiabilities_crore,
    ROUND(COALESCE((bs.consolidated_json -&gt;&gt; 'Liabilities')::NUMERIC, 0) / 10000000, 2) AS Liabilities_crore,
	ROUND(COALESCE((bs.consolidated_json -&gt;&gt; 'LiabilitiesDirectlyAssociatedWithAssetsInDisposalGroupClassifiedAsHeldForSale')::NUMERIC, 0) / 10000000, 2) AS LiabilitiesHeldForSale_crore,
    ROUND(COALESCE((bs.consolidated_json -&gt;&gt; 'RegulatoryDeferralAccountCreditBalancesAndRelatedDeferredTaxLiability')::NUMERIC, 0) / 10000000, 2) AS RegulatoryDeferralBalances_crore,
    ROUND(COALESCE((bs.consolidated_json -&gt;&gt; 'Assets')::NUMERIC, 0) / 10000000, 2) AS Assets,
    -- Additional fields
    ROUND((
        COALESCE((bs.consolidated_json -&gt;&gt; 'NoncurrentLiabilities')::NUMERIC, 0) +
        COALESCE((bs.consolidated_json -&gt;&gt; 'CurrentLiabilities')::NUMERIC, 0)
    ) / 10000000, 2) AS TotalLiabilities_crore,
    ROUND((
        COALESCE((bs.consolidated_json -&gt;&gt; 'NoncurrentLiabilities')::NUMERIC, 0) +
        COALESCE((bs.consolidated_json -&gt;&gt; 'CurrentLiabilities')::NUMERIC, 0) +
        COALESCE((bs.consolidated_json -&gt;&gt; 'Equity')::NUMERIC, 0)
    ) / 10000000, 2) AS TotalLiabilitiesAndEquity_crore,
    (
        (
            COALESCE((bs.consolidated_json -&gt;&gt; 'NoncurrentLiabilities')::NUMERIC, 0) +
            COALESCE((bs.consolidated_json -&gt;&gt; 'CurrentLiabilities')::NUMERIC, 0) +
            COALESCE((bs.consolidated_json -&gt;&gt; 'Equity')::NUMERIC, 0)
        ) = COALESCE((bs.consolidated_json -&gt;&gt; 'EquityAndLiabilities')::NUMERIC, 0)
    ) AS Check_Equal_EquityAndLiabilities
FROM public.balance_sheets bs
JOIN public.company_profiles cp ON bs.stock_symbol = cp.stock_symbol
WHERE
    COALESCE((bs.consolidated_json -&gt;&gt; 'NoncurrentLiabilities')::NUMERIC, 0) +
    COALESCE((bs.consolidated_json -&gt;&gt; 'CurrentLiabilities')::NUMERIC, 0) +
	COALESCE((bs.consolidated_json -&gt;&gt; 'LiabilitiesDirectlyAssociatedWithAssetsInDisposalGroupClassifiedAsHeldForSale')::NUMERIC, 0) +
	COALESCE((bs.consolidated_json -&gt;&gt; 'RegulatoryDeferralAccountCreditBalancesAndRelatedDeferredTaxLiability')::NUMERIC, 0)
    &lt;&gt; COALESCE((bs.consolidated_json -&gt;&gt; 'Liabilities')::NUMERIC, 0)
    AND cp.industry not in ('Banks','Insurance')
    AND bs.period = 'Annual'
ORDER BY cp.market_cap DESC;</t>
  </si>
  <si>
    <t>14 - 5</t>
  </si>
  <si>
    <t>SELECT
    bs.stock_symbol,
    bs.to_date, bs.date_header, 
    bs.period,
    ROUND(cp.market_cap, 2) AS market_cap_crore,
    COALESCE((bs.standalone_json -&gt;&gt; 'Assets')::NUMERIC, 0) AS Assets,
    COALESCE((bs.standalone_json -&gt;&gt; 'Liabilities')::NUMERIC, 0) AS Liabilities,
    COALESCE((bs.standalone_json -&gt;&gt; 'Equity')::NUMERIC, 0) AS Equity
FROM public.balance_sheets bs
JOIN public.company_profiles cp ON bs.stock_symbol = cp.stock_symbol
WHERE
    ((bs.standalone_json -&gt;&gt; 'Assets') IS NULL OR (bs.standalone_json -&gt;&gt; 'Assets')::NUMERIC = 0 OR
    (bs.standalone_json -&gt;&gt; 'Liabilities') IS NULL OR (bs.standalone_json -&gt;&gt; 'Liabilities')::NUMERIC = 0 OR
    (bs.standalone_json -&gt;&gt; 'Equity') IS NULL OR (bs.standalone_json -&gt;&gt; 'Equity')::NUMERIC = 0)
    AND cp.industry not in ('Banks','Insurance') and period = 'Annual'
ORDER BY cp.market_cap DESC;</t>
  </si>
  <si>
    <t xml:space="preserve">  SELECT
    bs.stock_symbol,
    bs.to_date, bs.date_header, 
    bs.period,
    ROUND(cp.market_cap, 2) AS market_cap_crore,
    COALESCE((bs.consolidated_json -&gt;&gt; 'Assets')::NUMERIC, 0) AS Assets,
    COALESCE((bs.consolidated_json -&gt;&gt; 'Liabilities')::NUMERIC, 0) AS Liabilities,
    COALESCE((bs.consolidated_json -&gt;&gt; 'Equity')::NUMERIC, 0) AS Equity
FROM public.balance_sheets bs
JOIN public.company_profiles cp ON bs.stock_symbol = cp.stock_symbol
WHERE
    ((bs.consolidated_json -&gt;&gt; 'Assets') IS NULL OR (bs.consolidated_json -&gt;&gt; 'Assets')::NUMERIC = 0 OR
    (bs.consolidated_json -&gt;&gt; 'Liabilities') IS NULL OR (bs.consolidated_json -&gt;&gt; 'Liabilities')::NUMERIC = 0 OR
    (bs.consolidated_json -&gt;&gt; 'Equity') IS NULL OR (bs.consolidated_json -&gt;&gt; 'Equity')::NUMERIC = 0)
    AND cp.industry not in ('Banks','Insurance') and period = 'Annual' and cp.consolidated_ind = 'true'
ORDER BY cp.market_cap DESC;</t>
  </si>
  <si>
    <t xml:space="preserve">2-0
</t>
  </si>
  <si>
    <t>SELECT
  bs.stock_symbol,
  bs.period,
  bs.to_date,
  cp.market_cap,
  bs.standalone_json
FROM public.balance_sheets bs
JOIN public.company_profiles cp
  ON bs.stock_symbol = cp.stock_symbol
WHERE cp.industry not in ('Banks','Insurance') and (
  (
    COALESCE((bs.standalone_json -&gt;&gt; 'ShareCapital')::NUMERIC,0) &lt;&gt; 0
    AND COALESCE((bs.standalone_json -&gt;&gt; 'EquityShareCapital')::NUMERIC,0) &lt;&gt; 0
  )
  OR (
    COALESCE((bs.standalone_json -&gt;&gt; 'MoneyReceivedAgainstShareWarrants')::NUMERIC,0) &lt;&gt; 0
    AND COALESCE((bs.standalone_json -&gt;&gt; 'OtherEquity')::NUMERIC,0) &lt;&gt; 0
  )
  OR (
    COALESCE((bs.standalone_json -&gt;&gt; 'ReservesAndSurplus')::NUMERIC,0) &lt;&gt; 0
    AND COALESCE((bs.standalone_json -&gt;&gt; 'OtherEquity')::NUMERIC,0) &lt;&gt; 0
  )
  OR (
    COALESCE((bs.standalone_json -&gt;&gt; 'MinorityInterest')::NUMERIC,0) &lt;&gt; 0
    AND COALESCE((bs.standalone_json -&gt;&gt; 'NonControllingInterest')::NUMERIC,0) &lt;&gt; 0
  )
  OR (
    COALESCE((bs.standalone_json -&gt;&gt; 'ShareholdersFunds')::NUMERIC,0) &lt;&gt; 0
    AND COALESCE((bs.standalone_json -&gt;&gt; 'Equity')::NUMERIC,0) &lt;&gt; 0
  )
  OR (
    COALESCE((bs.standalone_json -&gt;&gt; 'LongTermBorrowings')::NUMERIC,0) &lt;&gt; 0
    AND COALESCE((bs.standalone_json -&gt;&gt; 'BorrowingsNoncurrent')::NUMERIC,0) &lt;&gt; 0
  )
  OR (
    COALESCE((bs.standalone_json -&gt;&gt; 'Borrowings')::NUMERIC,0) &lt;&gt; 0
    AND COALESCE((bs.standalone_json -&gt;&gt; 'BorrowingsNoncurrent')::NUMERIC,0) &lt;&gt; 0
  )
  OR (
    COALESCE((bs.standalone_json -&gt;&gt; 'LongTermProvisions')::NUMERIC,0) &lt;&gt; 0
    AND COALESCE((bs.standalone_json -&gt;&gt; 'ProvisionsNoncurrent')::NUMERIC,0) &lt;&gt; 0
  )
  OR (
    COALESCE((bs.standalone_json -&gt;&gt; 'Provisions')::NUMERIC,0) &lt;&gt; 0
    AND COALESCE((bs.standalone_json -&gt;&gt; 'ProvisionsNoncurrent')::NUMERIC,0) &lt;&gt; 0
  )
  OR (
    COALESCE((bs.standalone_json -&gt;&gt; 'OtherFinancialLiabilities')::NUMERIC,0) &lt;&gt; 0
    AND COALESCE((bs.standalone_json -&gt;&gt; 'OtherNoncurrentFinancialLiabilities')::NUMERIC,0) &lt;&gt; 0
  )
  OR (
    COALESCE((bs.standalone_json -&gt;&gt; 'DeferredGovernmentGrants')::NUMERIC,0) &lt;&gt; 0
    AND COALESCE((bs.standalone_json -&gt;&gt; 'DeferredGovernmentGrantsNoncurrent')::NUMERIC,0) &lt;&gt; 0
  )
  OR (
    (
      COALESCE((bs.standalone_json -&gt;&gt; 'ForeignCurrencyMonetaryItemTranslationDifferenceLiabilityAccount')::NUMERIC,0) &lt;&gt; 0
      OR COALESCE((bs.standalone_json -&gt;&gt; 'OtherLongTermLiabilities')::NUMERIC,0) &lt;&gt; 0
    )
    AND COALESCE((bs.standalone_json -&gt;&gt; 'OtherNoncurrentLiabilities')::NUMERIC,0) &lt;&gt; 0
  )
  OR (
    COALESCE((bs.standalone_json -&gt;&gt; 'ShortTermBorrowings')::NUMERIC,0) &lt;&gt; 0
    AND COALESCE((bs.standalone_json -&gt;&gt; 'BorrowingsCurrent')::NUMERIC,0) &lt;&gt; 0
  )
  OR (
    (
      COALESCE((bs.standalone_json -&gt;&gt; 'Payables')::NUMERIC,0) &lt;&gt; 0
      OR COALESCE((bs.standalone_json -&gt;&gt; 'TradePayables')::NUMERIC,0) &lt;&gt; 0
    )
    AND COALESCE((bs.standalone_json -&gt;&gt; 'TradePayablesCurrent')::NUMERIC,0) &lt;&gt; 0
  )
  OR (
    COALESCE((bs.standalone_json -&gt;&gt; 'ShortTermProvisions')::NUMERIC,0) &lt;&gt; 0
    AND COALESCE((bs.standalone_json -&gt;&gt; 'ProvisionsCurrent')::NUMERIC,0) &lt;&gt; 0
  )
  OR (
    (
      COALESCE((bs.standalone_json -&gt;&gt; 'ProducingProperties')::NUMERIC,0) &lt;&gt; 0
      OR COALESCE((bs.standalone_json -&gt;&gt; 'TangibleAssets')::NUMERIC,0) &lt;&gt; 0
    )
    AND COALESCE((bs.standalone_json -&gt;&gt; 'PropertyPlantAndEquipment')::NUMERIC,0) &lt;&gt; 0
  )
  OR (
    (
      COALESCE((bs.standalone_json -&gt;&gt; 'PreproducingProperties')::NUMERIC,0) &lt;&gt; 0
      OR COALESCE((bs.standalone_json -&gt;&gt; 'TangibleAssetsCapitalWorkInProgress')::NUMERIC,0) &lt;&gt; 0
      OR COALESCE((bs.standalone_json -&gt;&gt; 'PropertyPlantAndEquipmentCapitalWorkInProgress')::NUMERIC,0) &lt;&gt; 0
    )
    AND COALESCE((bs.standalone_json -&gt;&gt; 'CapitalWorkInProgress')::NUMERIC,0) &lt;&gt; 0
  )
  OR (
    COALESCE((bs.standalone_json -&gt;&gt; 'IntangibleAssets')::NUMERIC,0) &lt;&gt; 0
    AND COALESCE((bs.standalone_json -&gt;&gt; 'OtherIntangibleAssets')::NUMERIC,0) &lt;&gt; 0
  )
  OR (
    COALESCE((bs.standalone_json -&gt;&gt; 'IntangibleAssetsUnderDevelopmentOrWorkInProgress')::NUMERIC,0) &lt;&gt; 0
    AND COALESCE((bs.standalone_json -&gt;&gt; 'IntangibleAssetsUnderDevelopment')::NUMERIC,0) &lt;&gt; 0
  )
  OR (
    COALESCE((bs.standalone_json -&gt;&gt; 'LongTermLoansAndAdvances')::NUMERIC,0) &lt;&gt; 0
    AND COALESCE((bs.standalone_json -&gt;&gt; 'LoansNoncurrent')::NUMERIC,0) &lt;&gt; 0
  )
  OR (
    COALESCE((bs.standalone_json -&gt;&gt; 'OtherReceivables')::NUMERIC,0) &lt;&gt; 0
    AND COALESCE((bs.standalone_json -&gt;&gt; 'TradeReceivablesNoncurrent')::NUMERIC,0) &lt;&gt; 0
  )
  OR (
    COALESCE((bs.standalone_json -&gt;&gt; 'Loans')::NUMERIC,0) &lt;&gt; 0
    AND COALESCE((bs.standalone_json -&gt;&gt; 'LoansNoncurrent')::NUMERIC,0) &lt;&gt; 0
  )
  OR (
    COALESCE((bs.standalone_json -&gt;&gt; 'Investments')::NUMERIC,0) &lt;&gt; 0
    AND COALESCE((bs.standalone_json -&gt;&gt; 'NoncurrentInvestments')::NUMERIC,0) &lt;&gt; 0
  )
  OR (
    COALESCE((bs.standalone_json -&gt;&gt; 'OtherFinancialAssets')::NUMERIC,0) &lt;&gt; 0
    AND COALESCE((bs.standalone_json -&gt;&gt; 'OtherNoncurrentFinancialAssets')::NUMERIC,0) &lt;&gt; 0
  )
  OR (
    COALESCE((bs.standalone_json -&gt;&gt; 'ForeignCurrencyMonetaryItemTranslationDifferenceAssetAccount')::NUMERIC,0) &lt;&gt; 0
    AND COALESCE((bs.standalone_json -&gt;&gt; 'OtherNoncurrentAssets')::NUMERIC,0) &lt;&gt; 0
  )
  OR (
    COALESCE((bs.standalone_json -&gt;&gt; 'TradeReceivables')::NUMERIC,0) &lt;&gt; 0
    AND COALESCE((bs.standalone_json -&gt;&gt; 'TradeReceivablesCurrent')::NUMERIC,0) &lt;&gt; 0
  )
  OR (
    COALESCE((bs.standalone_json -&gt;&gt; 'ShortTermLoansAndAdvances')::NUMERIC,0) &lt;&gt; 0
    AND COALESCE((bs.standalone_json -&gt;&gt; 'LoansCurrent')::NUMERIC,0) &lt;&gt; 0
  )
  OR (
    COALESCE((bs.standalone_json -&gt;&gt; 'CurrentTaxAssets')::NUMERIC,0) &lt;&gt; 0
    AND COALESCE((bs.standalone_json -&gt;&gt; 'CurrentTaxAssetsNet')::NUMERIC,0) &lt;&gt; 0
  ))
ORDER BY cp.market_cap DESC;</t>
  </si>
  <si>
    <t>SELECT
  bs.stock_symbol,
  bs.period,
  bs.to_date,
  cp.market_cap,
  bs.consolidated_json
FROM public.balance_sheets bs
JOIN public.company_profiles cp
  ON bs.stock_symbol = cp.stock_symbol
WHERE cp.industry not in ('Banks','Insurance') and
  ((
    COALESCE((bs.consolidated_json -&gt;&gt; 'ShareCapital')::NUMERIC,0) &lt;&gt; 0
    AND COALESCE((bs.consolidated_json -&gt;&gt; 'EquityShareCapital')::NUMERIC,0) &lt;&gt; 0
  )
  OR (
    COALESCE((bs.consolidated_json -&gt;&gt; 'MoneyReceivedAgainstShareWarrants')::NUMERIC,0) &lt;&gt; 0
    AND COALESCE((bs.consolidated_json -&gt;&gt; 'OtherEquity')::NUMERIC,0) &lt;&gt; 0
  )
  OR (
    COALESCE((bs.consolidated_json -&gt;&gt; 'ReservesAndSurplus')::NUMERIC,0) &lt;&gt; 0
    AND COALESCE((bs.consolidated_json -&gt;&gt; 'OtherEquity')::NUMERIC,0) &lt;&gt; 0
  )
  OR (
    COALESCE((bs.consolidated_json -&gt;&gt; 'MinorityInterest')::NUMERIC,0) &lt;&gt; 0
    AND COALESCE((bs.consolidated_json -&gt;&gt; 'NonControllingInterest')::NUMERIC,0) &lt;&gt; 0
  )
  OR (
    COALESCE((bs.consolidated_json -&gt;&gt; 'ShareholdersFunds')::NUMERIC,0) &lt;&gt; 0
    AND COALESCE((bs.consolidated_json -&gt;&gt; 'Equity')::NUMERIC,0) &lt;&gt; 0
  )
  OR (
    COALESCE((bs.consolidated_json -&gt;&gt; 'LongTermBorrowings')::NUMERIC,0) &lt;&gt; 0
    AND COALESCE((bs.consolidated_json -&gt;&gt; 'BorrowingsNoncurrent')::NUMERIC,0) &lt;&gt; 0
  )
  OR (
    COALESCE((bs.consolidated_json -&gt;&gt; 'Borrowings')::NUMERIC,0) &lt;&gt; 0
    AND COALESCE((bs.consolidated_json -&gt;&gt; 'BorrowingsNoncurrent')::NUMERIC,0) &lt;&gt; 0
  )
  OR (
    COALESCE((bs.consolidated_json -&gt;&gt; 'LongTermProvisions')::NUMERIC,0) &lt;&gt; 0
    AND COALESCE((bs.consolidated_json -&gt;&gt; 'ProvisionsNoncurrent')::NUMERIC,0) &lt;&gt; 0
  )
  OR (
    COALESCE((bs.consolidated_json -&gt;&gt; 'Provisions')::NUMERIC,0) &lt;&gt; 0
    AND COALESCE((bs.consolidated_json -&gt;&gt; 'ProvisionsNoncurrent')::NUMERIC,0) &lt;&gt; 0
  )
  OR (
    COALESCE((bs.consolidated_json -&gt;&gt; 'OtherFinancialLiabilities')::NUMERIC,0) &lt;&gt; 0
    AND COALESCE((bs.consolidated_json -&gt;&gt; 'OtherNoncurrentFinancialLiabilities')::NUMERIC,0) &lt;&gt; 0
  )
  OR (
    COALESCE((bs.consolidated_json -&gt;&gt; 'DeferredGovernmentGrants')::NUMERIC,0) &lt;&gt; 0
    AND COALESCE((bs.consolidated_json -&gt;&gt; 'DeferredGovernmentGrantsNoncurrent')::NUMERIC,0) &lt;&gt; 0
  )
  OR (
    (
      COALESCE((bs.consolidated_json -&gt;&gt; 'ForeignCurrencyMonetaryItemTranslationDifferenceLiabilityAccount')::NUMERIC,0) &lt;&gt; 0
      OR COALESCE((bs.consolidated_json -&gt;&gt; 'OtherLongTermLiabilities')::NUMERIC,0) &lt;&gt; 0
    )
    AND COALESCE((bs.consolidated_json -&gt;&gt; 'OtherNoncurrentLiabilities')::NUMERIC,0) &lt;&gt; 0
  )
  OR (
    COALESCE((bs.consolidated_json -&gt;&gt; 'ShortTermBorrowings')::NUMERIC,0) &lt;&gt; 0
    AND COALESCE((bs.consolidated_json -&gt;&gt; 'BorrowingsCurrent')::NUMERIC,0) &lt;&gt; 0
  )
  OR (
    (
      COALESCE((bs.consolidated_json -&gt;&gt; 'Payables')::NUMERIC,0) &lt;&gt; 0
      OR COALESCE((bs.consolidated_json -&gt;&gt; 'TradePayables')::NUMERIC,0) &lt;&gt; 0
    )
    AND COALESCE((bs.consolidated_json -&gt;&gt; 'TradePayablesCurrent')::NUMERIC,0) &lt;&gt; 0
  )
  OR (
    COALESCE((bs.consolidated_json -&gt;&gt; 'ShortTermProvisions')::NUMERIC,0) &lt;&gt; 0
    AND COALESCE((bs.consolidated_json -&gt;&gt; 'ProvisionsCurrent')::NUMERIC,0) &lt;&gt; 0
  )
  OR (
    (
      COALESCE((bs.consolidated_json -&gt;&gt; 'ProducingProperties')::NUMERIC,0) &lt;&gt; 0
      OR COALESCE((bs.consolidated_json -&gt;&gt; 'TangibleAssets')::NUMERIC,0) &lt;&gt; 0
    )
    AND COALESCE((bs.consolidated_json -&gt;&gt; 'PropertyPlantAndEquipment')::NUMERIC,0) &lt;&gt; 0
  )
  OR (
    (
      COALESCE((bs.consolidated_json -&gt;&gt; 'PreproducingProperties')::NUMERIC,0) &lt;&gt; 0
      OR COALESCE((bs.consolidated_json -&gt;&gt; 'TangibleAssetsCapitalWorkInProgress')::NUMERIC,0) &lt;&gt; 0
      OR COALESCE((bs.consolidated_json -&gt;&gt; 'PropertyPlantAndEquipmentCapitalWorkInProgress')::NUMERIC,0) &lt;&gt; 0
    )
    AND COALESCE((bs.consolidated_json -&gt;&gt; 'CapitalWorkInProgress')::NUMERIC,0) &lt;&gt; 0
  )
  OR (
    COALESCE((bs.consolidated_json -&gt;&gt; 'IntangibleAssets')::NUMERIC,0) &lt;&gt; 0
    AND COALESCE((bs.consolidated_json -&gt;&gt; 'OtherIntangibleAssets')::NUMERIC,0) &lt;&gt; 0
  )
  OR (
    COALESCE((bs.consolidated_json -&gt;&gt; 'IntangibleAssetsUnderDevelopmentOrWorkInProgress')::NUMERIC,0) &lt;&gt; 0
    AND COALESCE((bs.consolidated_json -&gt;&gt; 'IntangibleAssetsUnderDevelopment')::NUMERIC,0) &lt;&gt; 0
  )
  OR (
    COALESCE((bs.consolidated_json -&gt;&gt; 'LongTermLoansAndAdvances')::NUMERIC,0) &lt;&gt; 0
    AND COALESCE((bs.consolidated_json -&gt;&gt; 'LoansNoncurrent')::NUMERIC,0) &lt;&gt; 0
  )
  OR (
    COALESCE((bs.consolidated_json -&gt;&gt; 'OtherReceivables')::NUMERIC,0) &lt;&gt; 0
    AND COALESCE((bs.consolidated_json -&gt;&gt; 'TradeReceivablesNoncurrent')::NUMERIC,0) &lt;&gt; 0
  )
  OR (
    COALESCE((bs.consolidated_json -&gt;&gt; 'Loans')::NUMERIC,0) &lt;&gt; 0
    AND COALESCE((bs.consolidated_json -&gt;&gt; 'LoansNoncurrent')::NUMERIC,0) &lt;&gt; 0
  )
  OR (
    COALESCE((bs.consolidated_json -&gt;&gt; 'Investments')::NUMERIC,0) &lt;&gt; 0
    AND COALESCE((bs.consolidated_json -&gt;&gt; 'NoncurrentInvestments')::NUMERIC,0) &lt;&gt; 0
  )
  OR (
    COALESCE((bs.consolidated_json -&gt;&gt; 'OtherFinancialAssets')::NUMERIC,0) &lt;&gt; 0
    AND COALESCE((bs.consolidated_json -&gt;&gt; 'OtherNoncurrentFinancialAssets')::NUMERIC,0) &lt;&gt; 0
  )
  OR (
    COALESCE((bs.consolidated_json -&gt;&gt; 'ForeignCurrencyMonetaryItemTranslationDifferenceAssetAccount')::NUMERIC,0) &lt;&gt; 0
    AND COALESCE((bs.consolidated_json -&gt;&gt; 'OtherNoncurrentAssets')::NUMERIC,0) &lt;&gt; 0
  )
  OR (
    COALESCE((bs.consolidated_json -&gt;&gt; 'TradeReceivables')::NUMERIC,0) &lt;&gt; 0
    AND COALESCE((bs.consolidated_json -&gt;&gt; 'TradeReceivablesCurrent')::NUMERIC,0) &lt;&gt; 0
  )
  OR (
    COALESCE((bs.consolidated_json -&gt;&gt; 'ShortTermLoansAndAdvances')::NUMERIC,0) &lt;&gt; 0
    AND COALESCE((bs.consolidated_json -&gt;&gt; 'LoansCurrent')::NUMERIC,0) &lt;&gt; 0
  )
  OR (
    COALESCE((bs.consolidated_json -&gt;&gt; 'CurrentTaxAssets')::NUMERIC,0) &lt;&gt; 0
    AND COALESCE((bs.consolidated_json -&gt;&gt; 'CurrentTaxAssetsNet')::NUMERIC,0) &lt;&gt; 0
  ))
ORDER BY cp.market_cap DESC;</t>
  </si>
  <si>
    <t>16-6</t>
  </si>
  <si>
    <t>23-16</t>
  </si>
  <si>
    <t>2 - 299
73 - Only re-run required. Small companies no issues.</t>
  </si>
  <si>
    <t>SELECT
    pl.stock_symbol,
    pl.to_date,
    pl.period,
    pl.date_header,
    ROUND(cp.market_cap, 2) AS market_cap_crore,
    -- Print all components in crore
    ROUND((pl.standalone_json -&gt;&gt; 'RevenueFromOperations')::NUMERIC / 10000000, 2) AS revenue_from_operations_crore,
    ROUND((pl.standalone_json -&gt;&gt; 'InterestEarned')::NUMERIC / 10000000, 2) AS interest_earned_crore,
    ROUND((pl.standalone_json -&gt;&gt; 'DividendIncome')::NUMERIC / 10000000, 2) AS dividend_income_crore,
    ROUND((pl.standalone_json -&gt;&gt; 'RentalIncome')::NUMERIC / 10000000, 2) AS rental_income_crore,
    ROUND((pl.standalone_json -&gt;&gt; 'FeesAndCommissionIncome')::NUMERIC / 10000000, 2) AS fees_commission_income_crore,
    ROUND((pl.standalone_json -&gt;&gt; 'NetGainOnFairValueChanges')::NUMERIC / 10000000, 2) AS net_gain_fair_value_crore,
    ROUND((pl.standalone_json -&gt;&gt; 'NetGainOnDerecognitionOfFinancialInstrumentsUnderAmortisedCostCategory')::NUMERIC / 10000000, 2) AS net_gain_derecognition_crore,
    ROUND((pl.standalone_json -&gt;&gt; 'RevenueFromSaleOfProduct')::NUMERIC / 10000000, 2) AS revenue_from_product_crore,
    ROUND((pl.standalone_json -&gt;&gt; 'RevenueFromSaleOfServices')::NUMERIC / 10000000, 2) AS revenue_from_services_crore,
    ROUND((pl.standalone_json -&gt;&gt; 'OtherRevenueFromOperations')::NUMERIC / 10000000, 2) AS other_revenue_crore,
    ROUND((pl.standalone_json -&gt;&gt; 'OtherIncome')::NUMERIC / 10000000, 2) AS other_income_crore,
	ROUND((pl.standalone_json -&gt;&gt; 'Income')::NUMERIC / 10000000, 2) AS income_crore,
    -- Calculated sum of revenue components
    ROUND((
        COALESCE((pl.standalone_json -&gt;&gt; 'InterestEarned')::NUMERIC, 0) +
        COALESCE((pl.standalone_json -&gt;&gt; 'DividendIncome')::NUMERIC, 0) +
        COALESCE((pl.standalone_json -&gt;&gt; 'RentalIncome')::NUMERIC, 0) +
        COALESCE((pl.standalone_json -&gt;&gt; 'FeesAndCommissionIncome')::NUMERIC, 0) +
        COALESCE((pl.standalone_json -&gt;&gt; 'NetGainOnFairValueChanges')::NUMERIC, 0) +
        COALESCE((pl.standalone_json -&gt;&gt; 'NetGainOnDerecognitionOfFinancialInstrumentsUnderAmortisedCostCategory')::NUMERIC, 0) +
        COALESCE((pl.standalone_json -&gt;&gt; 'RevenueFromSaleOfProduct')::NUMERIC, 0) +
        COALESCE((pl.standalone_json -&gt;&gt; 'RevenueFromSaleOfServices')::NUMERIC, 0) +
        COALESCE((pl.standalone_json -&gt;&gt; 'OtherRevenueFromOperations')::NUMERIC, 0)
    ) / 10000000, 2) AS revenue_components_sum_crore,
    -- Sum of RevenueFromOperations + OtherIncome
    ROUND((
        COALESCE((pl.standalone_json -&gt;&gt; 'RevenueFromOperations')::NUMERIC, 0) +
        COALESCE((pl.standalone_json -&gt;&gt; 'OtherIncome')::NUMERIC, 0)+
		COALESCE((pl.standalone_json -&gt;&gt; 'InterestEarned')::NUMERIC, 0)
    ) / 10000000, 2) AS total_income_calc_crore
FROM public.profit_losses pl
JOIN public.company_profiles cp ON pl.stock_symbol = cp.stock_symbol
WHERE
    -- 3rd condition: Income &lt;&gt; RevenueFromOperations + OtherIncome
    (ROUND((pl.standalone_json -&gt;&gt; 'Income')::NUMERIC / 10000000, 2) &lt;&gt;
    ROUND((
        COALESCE((pl.standalone_json -&gt;&gt; 'RevenueFromOperations')::NUMERIC, 0) +
        COALESCE((pl.standalone_json -&gt;&gt; 'OtherIncome')::NUMERIC, 0) 
		--+ COALESCE((pl.standalone_json -&gt;&gt; 'InterestEarned')::NUMERIC, 0)
    ) / 10000000, 2)) and industry not in ('Insurance','Banks')
ORDER BY cp.market_cap DESC;</t>
  </si>
  <si>
    <t>SELECT
    pl.stock_symbol,
    pl.to_date,
    pl.period,
    pl.date_header,
    ROUND(cp.market_cap, 2) AS market_cap_crore,
    -- Print all components in crore
    ROUND((pl.consolidated_json -&gt;&gt; 'RevenueFromOperations')::NUMERIC / 10000000, 2) AS revenue_from_operations_crore,
    ROUND((pl.consolidated_json -&gt;&gt; 'InterestEarned')::NUMERIC / 10000000, 2) AS interest_earned_crore,
    ROUND((pl.consolidated_json -&gt;&gt; 'DividendIncome')::NUMERIC / 10000000, 2) AS dividend_income_crore,
    ROUND((pl.consolidated_json -&gt;&gt; 'RentalIncome')::NUMERIC / 10000000, 2) AS rental_income_crore,
    ROUND((pl.consolidated_json -&gt;&gt; 'FeesAndCommissionIncome')::NUMERIC / 10000000, 2) AS fees_commission_income_crore,
    ROUND((pl.consolidated_json -&gt;&gt; 'NetGainOnFairValueChanges')::NUMERIC / 10000000, 2) AS net_gain_fair_value_crore,
    ROUND((pl.consolidated_json -&gt;&gt; 'NetGainOnDerecognitionOfFinancialInstrumentsUnderAmortisedCostCategory')::NUMERIC / 10000000, 2) AS net_gain_derecognition_crore,
    ROUND((pl.consolidated_json -&gt;&gt; 'RevenueFromSaleOfProduct')::NUMERIC / 10000000, 2) AS revenue_from_product_crore,
    ROUND((pl.consolidated_json -&gt;&gt; 'RevenueFromSaleOfServices')::NUMERIC / 10000000, 2) AS revenue_from_services_crore,
    ROUND((pl.consolidated_json -&gt;&gt; 'OtherRevenueFromOperations')::NUMERIC / 10000000, 2) AS other_revenue_crore,
    ROUND((pl.consolidated_json -&gt;&gt; 'OtherIncome')::NUMERIC / 10000000, 2) AS other_income_crore,
    -- Calculated sum of revenue components
    ROUND((
        COALESCE((pl.consolidated_json -&gt;&gt; 'InterestEarned')::NUMERIC, 0) +
        COALESCE((pl.consolidated_json -&gt;&gt; 'DividendIncome')::NUMERIC, 0) +
        COALESCE((pl.consolidated_json -&gt;&gt; 'RentalIncome')::NUMERIC, 0) +
        COALESCE((pl.consolidated_json -&gt;&gt; 'FeesAndCommissionIncome')::NUMERIC, 0) +
        COALESCE((pl.consolidated_json -&gt;&gt; 'NetGainOnFairValueChanges')::NUMERIC, 0) +
        COALESCE((pl.consolidated_json -&gt;&gt; 'NetGainOnDerecognitionOfFinancialInstrumentsUnderAmortisedCostCategory')::NUMERIC, 0) +
        COALESCE((pl.consolidated_json -&gt;&gt; 'RevenueFromSaleOfProduct')::NUMERIC, 0) +
        COALESCE((pl.consolidated_json -&gt;&gt; 'RevenueFromSaleOfServices')::NUMERIC, 0) +
        COALESCE((pl.consolidated_json -&gt;&gt; 'OtherRevenueFromOperations')::NUMERIC, 0)
    ) / 10000000, 2) AS revenue_components_sum_crore,
    -- Sum of RevenueFromOperations + OtherIncome
    ROUND((
        COALESCE((pl.consolidated_json -&gt;&gt; 'RevenueFromOperations')::NUMERIC, 0) +
        COALESCE((pl.consolidated_json -&gt;&gt; 'OtherIncome')::NUMERIC, 0)
    ) / 10000000, 2) AS total_income_calc_crore
FROM public.profit_losses pl
JOIN public.company_profiles cp ON pl.stock_symbol = cp.stock_symbol
WHERE
    -- 3rd condition: Income &lt;&gt; RevenueFromOperations + OtherIncome
    (ROUND((pl.consolidated_json -&gt;&gt; 'Income')::NUMERIC / 10000000, 2) &lt;&gt;
    ROUND((
        COALESCE((pl.consolidated_json -&gt;&gt; 'RevenueFromOperations')::NUMERIC, 0) +
        COALESCE((pl.consolidated_json -&gt;&gt; 'OtherIncome')::NUMERIC, 0)
    ) / 10000000, 2)) and industry not in ('Insurance','Banks')
ORDER BY cp.market_cap DESC;</t>
  </si>
  <si>
    <t>Select * from utils.dividend_utils where stock_symbol = '543782'</t>
  </si>
  <si>
    <t>Dividend check</t>
  </si>
  <si>
    <t>SELECT
    pl.stock_symbol,
    pl.to_date,
    pl.period,
    pl.date_header,
    ROUND((pl.standalone_json -&gt;&gt; 'Income')::NUMERIC / 10000000, 2) AS income_crore,
    ROUND((pl.standalone_json -&gt;&gt; 'Expenses')::NUMERIC / 10000000, 2) AS expenses_crore,
    ROUND((pl.standalone_json -&gt;&gt; 'ExceptionalItemsBeforeTax')::NUMERIC / 10000000, 2) AS exceptional_items_before_tax_crore,
    ROUND((pl.standalone_json -&gt;&gt; 'ProfitLossFromDiscontinuedOperationsAfterTax')::NUMERIC / 10000000, 2) AS discontinued_operations_crore,
    ROUND((pl.standalone_json -&gt;&gt; 'ShareOfProfitLossOfAssociatesAndJointVenturesAccountedForUsingEquityMethod')::NUMERIC / 10000000, 2) AS profit_loss_associate_crore,
    ROUND((pl.standalone_json -&gt;&gt; 'NetMovementInRegulatoryDeferralAccountBalancesRelatedToProfitOrLossAndTheRelatedDeferredTaxMovement')::NUMERIC / 10000000, 2) AS regulatory_deferral_account_crore,
    ROUND((pl.standalone_json -&gt;&gt; 'ExtraordinaryItems')::NUMERIC / 10000000, 2) AS extraordinary_items_crore,
    ROUND((pl.standalone_json -&gt;&gt; 'TaxExpense')::NUMERIC / 10000000, 2) AS tax_expense_crore,
    ROUND((pl.standalone_json -&gt;&gt; 'ProfitOrLossAttributableToNonControllingInterests')::NUMERIC / 10000000, 2) AS non_controlling_interest_crore,
    ROUND((pl.standalone_json -&gt;&gt; 'ProfitOrLossAttributableToOwnersOfParent')::NUMERIC / 10000000, 2) AS attributable_to_owners_crore,
    ROUND((pl.standalone_json -&gt;&gt; 'ProfitLossForPeriod')::NUMERIC / 10000000, 2) AS profit_loss_DB,
    ROUND(cp.market_cap, 2) AS market_cap_crore,
    -- New calculated fields
    ROUND((
        (pl.standalone_json -&gt;&gt; 'Income')::NUMERIC
        - (pl.standalone_json -&gt;&gt; 'Expenses')::NUMERIC
        + COALESCE((pl.standalone_json -&gt;&gt; 'ExceptionalItemsBeforeTax')::NUMERIC, 0)
        + COALESCE((pl.standalone_json -&gt;&gt; 'ProfitLossFromDiscontinuedOperationsAfterTax')::NUMERIC, 0)
        + COALESCE((pl.standalone_json -&gt;&gt; 'ShareOfProfitLossOfAssociatesAndJointVenturesAccountedForUsingEquityMethod')::NUMERIC, 0)
        + COALESCE((pl.standalone_json -&gt;&gt; 'NetMovementInRegulatoryDeferralAccountBalancesRelatedToProfitOrLossAndTheRelatedDeferredTaxMovement')::NUMERIC, 0)
        + COALESCE((pl.standalone_json -&gt;&gt; 'ExtraordinaryItems')::NUMERIC, 0)
        - (pl.standalone_json -&gt;&gt; 'TaxExpense')::NUMERIC
    ) / 10000000, 2) AS profit_loss_calc,
  -- Flag if discontinued ops matches the difference
 CASE
  WHEN
    ROUND(
      COALESCE((pl.standalone_json -&gt;&gt; 'ProfitLossFromDiscontinuedOperationsAfterTax')::NUMERIC, 0),
      2
    )
    =
    -ROUND(
      (
        (pl.standalone_json -&gt;&gt; 'ProfitLossForPeriod')::NUMERIC
        -
        (
          (pl.standalone_json -&gt;&gt; 'Income')::NUMERIC
          - (pl.standalone_json -&gt;&gt; 'Expenses')::NUMERIC
          + COALESCE((pl.standalone_json -&gt;&gt; 'ExceptionalItemsBeforeTax')::NUMERIC, 0)
	      + COALESCE((pl.standalone_json -&gt;&gt; 'ProfitLossFromDiscontinuedOperationsAfterTax')::NUMERIC, 0)
          + COALESCE((pl.standalone_json -&gt;&gt; 'ShareOfProfitLossOfAssociatesAndJointVenturesAccountedForUsingEquityMethod')::NUMERIC, 0)
          + COALESCE((pl.standalone_json -&gt;&gt; 'NetMovementInRegulatoryDeferralAccountBalancesRelatedToProfitOrLossAndTheRelatedDeferredTaxMovement')::NUMERIC, 0)
          + COALESCE((pl.standalone_json -&gt;&gt; 'ExtraordinaryItems')::NUMERIC, 0)
	      - (pl.standalone_json -&gt;&gt; 'TaxExpense')::NUMERIC
        )
      ), 2
    )
  THEN 'true'
  ELSE 'false'
END AS discontinued_matches_component_difference
FROM public.profit_losses pl
JOIN public.company_profiles cp ON pl.stock_symbol = cp.stock_symbol
WHERE
    (ROUND((
        (pl.standalone_json -&gt;&gt; 'Income')::NUMERIC
        - (pl.standalone_json -&gt;&gt; 'Expenses')::NUMERIC
        + COALESCE((pl.standalone_json -&gt;&gt; 'ExceptionalItemsBeforeTax')::NUMERIC, 0)
        + COALESCE((pl.standalone_json -&gt;&gt; 'ProfitLossFromDiscontinuedOperationsAfterTax')::NUMERIC, 0)
        + COALESCE((pl.standalone_json -&gt;&gt; 'ShareOfProfitLossOfAssociatesAndJointVenturesAccountedForUsingEquityMethod')::NUMERIC, 0)
        + COALESCE((pl.standalone_json -&gt;&gt; 'NetMovementInRegulatoryDeferralAccountBalancesRelatedToProfitOrLossAndTheRelatedDeferredTaxMovement')::NUMERIC, 0)
        + COALESCE((pl.standalone_json -&gt;&gt; 'ExtraordinaryItems')::NUMERIC, 0)
        - (pl.standalone_json -&gt;&gt; 'TaxExpense')::NUMERIC
    ) / 10000000, 2)
    &lt;&gt; ROUND((pl.standalone_json -&gt;&gt; 'ProfitLossForPeriod')::NUMERIC / 10000000, 2))
	and (cp.active = 'true' or company_type = 'SME')
ORDER BY discontinued_matches_component_difference, cp.market_cap DESC;</t>
  </si>
  <si>
    <t xml:space="preserve">Actual 
0 - 0
 </t>
  </si>
  <si>
    <t>1 record for Consolidated
No issues</t>
  </si>
  <si>
    <t>SELECT
    pl.stock_symbol,
    pl.to_date,
    pl.period,
    pl.date_header,
    ROUND(cp.market_cap, 2) AS market_cap_crore,
    -- Individual components
    ROUND((pl.consolidated_json -&gt;&gt; 'RevenueFromOperations')::NUMERIC / 10000000, 2) AS revenue_from_operations_crore,
    ROUND((pl.consolidated_json -&gt;&gt; 'InterestEarned')::NUMERIC / 10000000, 2) AS interest_earned_crore,
    ROUND((pl.consolidated_json -&gt;&gt; 'DividendIncome')::NUMERIC / 10000000, 2) AS dividend_income_crore,
    ROUND((pl.consolidated_json -&gt;&gt; 'RentalIncome')::NUMERIC / 10000000, 2) AS rental_income_crore,
    ROUND((pl.consolidated_json -&gt;&gt; 'FeesAndCommissionIncome')::NUMERIC / 10000000, 2) AS fees_commission_income_crore,
    ROUND((pl.consolidated_json -&gt;&gt; 'NetGainOnFairValueChanges')::NUMERIC / 10000000, 2) AS net_gain_fair_value_crore,
    ROUND((pl.consolidated_json -&gt;&gt; 'NetGainOnDerecognitionOfFinancialInstrumentsUnderAmortisedCostCategory')::NUMERIC / 10000000, 2) AS net_gain_derecognition_crore,
    ROUND((pl.consolidated_json -&gt;&gt; 'RevenueFromSaleOfProduct')::NUMERIC / 10000000, 2) AS revenue_from_product_crore,
    ROUND((pl.consolidated_json -&gt;&gt; 'RevenueFromSaleOfServices')::NUMERIC / 10000000, 2) AS revenue_from_services_crore,
    ROUND((pl.consolidated_json -&gt;&gt; 'OtherRevenueFromOperations')::NUMERIC / 10000000, 2) AS other_revenue_crore,
    ROUND((pl.consolidated_json -&gt;&gt; 'OtherIncome')::NUMERIC / 10000000, 2) AS other_income_crore,
    -- Calculated sum of revenue components
    ROUND((
        COALESCE((pl.consolidated_json -&gt;&gt; 'InterestEarned')::NUMERIC, 0) +
        COALESCE((pl.consolidated_json -&gt;&gt; 'DividendIncome')::NUMERIC, 0) +
        COALESCE((pl.consolidated_json -&gt;&gt; 'RentalIncome')::NUMERIC, 0) +
        COALESCE((pl.consolidated_json -&gt;&gt; 'FeesAndCommissionIncome')::NUMERIC, 0) +
        COALESCE((pl.consolidated_json -&gt;&gt; 'NetGainOnFairValueChanges')::NUMERIC, 0) +
        COALESCE((pl.consolidated_json -&gt;&gt; 'NetGainOnDerecognitionOfFinancialInstrumentsUnderAmortisedCostCategory')::NUMERIC, 0) +
        COALESCE((pl.consolidated_json -&gt;&gt; 'RevenueFromSaleOfProduct')::NUMERIC, 0) +
        COALESCE((pl.consolidated_json -&gt;&gt; 'RevenueFromSaleOfServices')::NUMERIC, 0) +
        COALESCE((pl.consolidated_json -&gt;&gt; 'OtherRevenueFromOperations')::NUMERIC, 0)
    ) / 10000000, 2) AS revenue_components_sum_crore,
    -- Sum of RevenueFromOperations + OtherIncome
    ROUND((
        COALESCE((pl.consolidated_json -&gt;&gt; 'RevenueFromOperations')::NUMERIC, 0) +
        COALESCE((pl.consolidated_json -&gt;&gt; 'OtherIncome')::NUMERIC, 0)
    ) / 10000000, 2) AS total_income_calc_crore
FROM public.profit_losses pl
JOIN public.company_profiles cp ON pl.stock_symbol = cp.stock_symbol
WHERE
    -- RevenueFromOperations does not match sum of revenue components
    ABS(ROUND((pl.consolidated_json -&gt;&gt; 'RevenueFromOperations')::NUMERIC / 10000000, 2) -
    ROUND((
        COALESCE((pl.consolidated_json -&gt;&gt; 'InterestEarned')::NUMERIC, 0) +
        COALESCE((pl.consolidated_json -&gt;&gt; 'DividendIncome')::NUMERIC, 0) +
        COALESCE((pl.consolidated_json -&gt;&gt; 'RentalIncome')::NUMERIC, 0) +
        COALESCE((pl.consolidated_json -&gt;&gt; 'FeesAndCommissionIncome')::NUMERIC, 0) +
        COALESCE((pl.consolidated_json -&gt;&gt; 'NetGainOnFairValueChanges')::NUMERIC, 0) +
        COALESCE((pl.consolidated_json -&gt;&gt; 'NetGainOnDerecognitionOfFinancialInstrumentsUnderAmortisedCostCategory')::NUMERIC, 0) +
        COALESCE((pl.consolidated_json -&gt;&gt; 'RevenueFromSaleOfProduct')::NUMERIC, 0) +
        COALESCE((pl.consolidated_json -&gt;&gt; 'RevenueFromSaleOfServices')::NUMERIC, 0) +
        COALESCE((pl.consolidated_json -&gt;&gt; 'OtherRevenueFromOperations')::NUMERIC, 0)
    ) / 10000000, 2)) &gt; 1
    AND cp.industry &lt;&gt; 'Banks'
    AND ROUND((
        COALESCE((pl.consolidated_json -&gt;&gt; 'InterestEarned')::NUMERIC, 0) +
        COALESCE((pl.consolidated_json -&gt;&gt; 'DividendIncome')::NUMERIC, 0) +
        COALESCE((pl.consolidated_json -&gt;&gt; 'RentalIncome')::NUMERIC, 0) +
        COALESCE((pl.consolidated_json -&gt;&gt; 'FeesAndCommissionIncome')::NUMERIC, 0) +
        COALESCE((pl.consolidated_json -&gt;&gt; 'NetGainOnFairValueChanges')::NUMERIC, 0) +
        COALESCE((pl.consolidated_json -&gt;&gt; 'NetGainOnDerecognitionOfFinancialInstrumentsUnderAmortisedCostCategory')::NUMERIC, 0) +
        COALESCE((pl.consolidated_json -&gt;&gt; 'RevenueFromSaleOfProduct')::NUMERIC, 0) +
        COALESCE((pl.consolidated_json -&gt;&gt; 'RevenueFromSaleOfServices')::NUMERIC, 0) +
        COALESCE((pl.consolidated_json -&gt;&gt; 'OtherRevenueFromOperations')::NUMERIC, 0)
    ) / 10000000, 2) &lt;&gt; 0
ORDER BY cp.market_cap DESC;</t>
  </si>
  <si>
    <t>SELECT
    pl.stock_symbol,
    pl.to_date,
    pl.period,
    pl.date_header,
    ROUND(cp.market_cap, 2) AS market_cap_crore,
    -- Individual components
    ROUND((pl.standalone_json -&gt;&gt; 'RevenueFromOperations')::NUMERIC / 10000000, 2) AS revenue_from_operations_crore,
    ROUND((pl.standalone_json -&gt;&gt; 'InterestEarned')::NUMERIC / 10000000, 2) AS interest_earned_crore,
    ROUND((pl.standalone_json -&gt;&gt; 'DividendIncome')::NUMERIC / 10000000, 2) AS dividend_income_crore,
    ROUND((pl.standalone_json -&gt;&gt; 'RentalIncome')::NUMERIC / 10000000, 2) AS rental_income_crore,
    ROUND((pl.standalone_json -&gt;&gt; 'FeesAndCommissionIncome')::NUMERIC / 10000000, 2) AS fees_commission_income_crore,
    ROUND((pl.standalone_json -&gt;&gt; 'NetGainOnFairValueChanges')::NUMERIC / 10000000, 2) AS net_gain_fair_value_crore,
    ROUND((pl.standalone_json -&gt;&gt; 'NetGainOnDerecognitionOfFinancialInstrumentsUnderAmortisedCostCategory')::NUMERIC / 10000000, 2) AS net_gain_derecognition_crore,
    ROUND((pl.standalone_json -&gt;&gt; 'RevenueFromSaleOfProduct')::NUMERIC / 10000000, 2) AS revenue_from_product_crore,
    ROUND((pl.standalone_json -&gt;&gt; 'RevenueFromSaleOfServices')::NUMERIC / 10000000, 2) AS revenue_from_services_crore,
    ROUND((pl.standalone_json -&gt;&gt; 'OtherRevenueFromOperations')::NUMERIC / 10000000, 2) AS other_revenue_crore,
    ROUND((pl.standalone_json -&gt;&gt; 'OtherIncome')::NUMERIC / 10000000, 2) AS other_income_crore,
    -- Calculated sum of revenue components
    ROUND((
        COALESCE((pl.standalone_json -&gt;&gt; 'InterestEarned')::NUMERIC, 0) +
        COALESCE((pl.standalone_json -&gt;&gt; 'DividendIncome')::NUMERIC, 0) +
        COALESCE((pl.standalone_json -&gt;&gt; 'RentalIncome')::NUMERIC, 0) +
        COALESCE((pl.standalone_json -&gt;&gt; 'FeesAndCommissionIncome')::NUMERIC, 0) +
        COALESCE((pl.standalone_json -&gt;&gt; 'NetGainOnFairValueChanges')::NUMERIC, 0) +
        COALESCE((pl.standalone_json -&gt;&gt; 'NetGainOnDerecognitionOfFinancialInstrumentsUnderAmortisedCostCategory')::NUMERIC, 0) +
        COALESCE((pl.standalone_json -&gt;&gt; 'RevenueFromSaleOfProduct')::NUMERIC, 0) +
        COALESCE((pl.standalone_json -&gt;&gt; 'RevenueFromSaleOfServices')::NUMERIC, 0) +
        COALESCE((pl.standalone_json -&gt;&gt; 'OtherRevenueFromOperations')::NUMERIC, 0)
    ) / 10000000, 2) AS revenue_components_sum_crore,
    -- Sum of RevenueFromOperations + OtherIncome
    ROUND((
        COALESCE((pl.standalone_json -&gt;&gt; 'RevenueFromOperations')::NUMERIC, 0) +
        COALESCE((pl.standalone_json -&gt;&gt; 'OtherIncome')::NUMERIC, 0)
    ) / 10000000, 2) AS total_income_calc_crore
FROM public.profit_losses pl
JOIN public.company_profiles cp ON pl.stock_symbol = cp.stock_symbol
WHERE
    -- RevenueFromOperations does not match sum of revenue components
    ABS(ROUND((pl.standalone_json -&gt;&gt; 'RevenueFromOperations')::NUMERIC / 10000000, 2) -
    ROUND((
        COALESCE((pl.standalone_json -&gt;&gt; 'InterestEarned')::NUMERIC, 0) +
        COALESCE((pl.standalone_json -&gt;&gt; 'DividendIncome')::NUMERIC, 0) +
        COALESCE((pl.standalone_json -&gt;&gt; 'RentalIncome')::NUMERIC, 0) +
        COALESCE((pl.standalone_json -&gt;&gt; 'FeesAndCommissionIncome')::NUMERIC, 0) +
        COALESCE((pl.standalone_json -&gt;&gt; 'NetGainOnFairValueChanges')::NUMERIC, 0) +
        COALESCE((pl.standalone_json -&gt;&gt; 'NetGainOnDerecognitionOfFinancialInstrumentsUnderAmortisedCostCategory')::NUMERIC, 0) +
        COALESCE((pl.standalone_json -&gt;&gt; 'RevenueFromSaleOfProduct')::NUMERIC, 0) +
        COALESCE((pl.standalone_json -&gt;&gt; 'RevenueFromSaleOfServices')::NUMERIC, 0) +
        COALESCE((pl.standalone_json -&gt;&gt; 'OtherRevenueFromOperations')::NUMERIC, 0)
    ) / 10000000, 2)) &gt; 1
    AND cp.industry not in ('Banks','Insurance')
    AND ROUND((
        COALESCE((pl.standalone_json -&gt;&gt; 'InterestEarned')::NUMERIC, 0) +
        COALESCE((pl.standalone_json -&gt;&gt; 'DividendIncome')::NUMERIC, 0) +
        COALESCE((pl.standalone_json -&gt;&gt; 'RentalIncome')::NUMERIC, 0) +
        COALESCE((pl.standalone_json -&gt;&gt; 'FeesAndCommissionIncome')::NUMERIC, 0) +
        COALESCE((pl.standalone_json -&gt;&gt; 'NetGainOnFairValueChanges')::NUMERIC, 0) +
        COALESCE((pl.standalone_json -&gt;&gt; 'NetGainOnDerecognitionOfFinancialInstrumentsUnderAmortisedCostCategory')::NUMERIC, 0) +
        COALESCE((pl.standalone_json -&gt;&gt; 'RevenueFromSaleOfProduct')::NUMERIC, 0) +
        COALESCE((pl.standalone_json -&gt;&gt; 'RevenueFromSaleOfServices')::NUMERIC, 0) +
        COALESCE((pl.standalone_json -&gt;&gt; 'OtherRevenueFromOperations')::NUMERIC, 0)
    ) / 10000000, 2) &lt;&gt; 0
ORDER BY cp.market_cap DESC;</t>
  </si>
  <si>
    <t>12 - 5 (All are TTM records)</t>
  </si>
  <si>
    <t>SELECT
    pl.stock_symbol,
    pl.to_date,
    pl.period,
    pl.date_header,
    ROUND(cp.market_cap, 2) AS market_cap_crore,
    -- COGS Components
    ROUND((pl.standalone_json -&gt;&gt; 'CostOfGoodsSold')::NUMERIC / 10000000, 2) AS cogs_crore,
    ROUND((pl.standalone_json -&gt;&gt; 'CostOfMaterialsConsumed')::NUMERIC / 10000000, 2) AS materials_consumed_crore,
    ROUND((pl.standalone_json -&gt;&gt; 'PurchasesOfStockInTrade')::NUMERIC / 10000000, 2) AS purchases_stock_in_trade_crore,
    ROUND((pl.standalone_json -&gt;&gt; 'ChangesInInventoriesOfFinishedGoodsWorkInProgressAndStockInTrade')::NUMERIC / 10000000, 2) AS inventory_changes_crore,
    -- Expense Components
    ROUND((pl.standalone_json -&gt;&gt; 'Expenses')::NUMERIC / 10000000, 2) AS expenses_crore,
    ROUND((pl.standalone_json -&gt;&gt; 'EmployeeBenefitExpense')::NUMERIC / 10000000, 2) AS employee_benefits_crore,
    ROUND((pl.standalone_json -&gt;&gt; 'FeesAndCommissionExpense')::NUMERIC / 10000000, 2) AS fees_commission_expense_crore,
    ROUND((pl.standalone_json -&gt;&gt; 'NetLossOnFairValueChanges')::NUMERIC / 10000000, 2) AS net_loss_fair_value_crore,
    ROUND((pl.standalone_json -&gt;&gt; 'NetLossOnDerecognitionOfFinancialInstrumentsUnderAmortisedCostCategory')::NUMERIC / 10000000, 2) AS net_loss_derecognition_crore,
    ROUND((pl.standalone_json -&gt;&gt; 'ImpairmentOnFinancialInstruments')::NUMERIC / 10000000, 2) AS impairment_financial_instruments_crore,
    ROUND((pl.standalone_json -&gt;&gt; 'OtherExpenses')::NUMERIC / 10000000, 2) AS other_expenses_crore,
    ROUND((pl.standalone_json -&gt;&gt; 'FinanceCosts')::NUMERIC / 10000000, 2) AS finance_costs_crore,
    ROUND((pl.standalone_json -&gt;&gt; 'DepreciationDepletionAndAmortisationExpense')::NUMERIC / 10000000, 2) AS depreciation_crore
FROM public.profit_losses pl
JOIN public.company_profiles cp ON pl.stock_symbol = cp.stock_symbol
WHERE
   (
        -- Expenses check
        ABS(ROUND((pl.standalone_json -&gt;&gt; 'Expenses')::NUMERIC / 10000000, 2) -
        ROUND((
            COALESCE((pl.standalone_json -&gt;&gt; 'CostOfMaterialsConsumed')::NUMERIC, 0) +
            COALESCE((pl.standalone_json -&gt;&gt; 'PurchasesOfStockInTrade')::NUMERIC, 0) +
            COALESCE((pl.standalone_json -&gt;&gt; 'ChangesInInventoriesOfFinishedGoodsWorkInProgressAndStockInTrade')::NUMERIC, 0) +
			COALESCE((pl.standalone_json -&gt;&gt; 'EmployeeBenefitExpense')::NUMERIC, 0) +
            COALESCE((pl.standalone_json -&gt;&gt; 'FeesAndCommissionExpense')::NUMERIC, 0) +
            COALESCE((pl.standalone_json -&gt;&gt; 'NetLossOnFairValueChanges')::NUMERIC, 0) +
            COALESCE((pl.standalone_json -&gt;&gt; 'NetLossOnDerecognitionOfFinancialInstrumentsUnderAmortisedCostCategory')::NUMERIC, 0) +
            COALESCE((pl.standalone_json -&gt;&gt; 'ImpairmentOnFinancialInstruments')::NUMERIC, 0) +
            COALESCE((pl.standalone_json -&gt;&gt; 'OtherExpenses')::NUMERIC, 0) +
            COALESCE((pl.standalone_json -&gt;&gt; 'FinanceCosts')::NUMERIC, 0) +
            COALESCE((pl.standalone_json -&gt;&gt; 'DepreciationDepletionAndAmortisationExpense')::NUMERIC, 0)
        ) / 10000000, 2)) &gt; 1
    ) and cp.industry not in ('Banks','Insurance')
ORDER BY cp.market_cap DESC;</t>
  </si>
  <si>
    <t>SELECT
    pl.stock_symbol,
    pl.to_date,
    pl.period,
    pl.date_header,
    ROUND(cp.market_cap, 2) AS market_cap_crore,
    -- COGS Components
    ROUND((pl.consolidated_json -&gt;&gt; 'CostOfGoodsSold')::NUMERIC / 10000000, 2) AS cogs_crore,
    ROUND((pl.consolidated_json -&gt;&gt; 'CostOfMaterialsConsumed')::NUMERIC / 10000000, 2) AS materials_consumed_crore,
    ROUND((pl.consolidated_json -&gt;&gt; 'PurchasesOfStockInTrade')::NUMERIC / 10000000, 2) AS purchases_stock_in_trade_crore,
    ROUND((pl.consolidated_json -&gt;&gt; 'ChangesInInventoriesOfFinishedGoodsWorkInProgressAndStockInTrade')::NUMERIC / 10000000, 2) AS inventory_changes_crore,
    -- Expense Components
    ROUND((pl.consolidated_json -&gt;&gt; 'Expenses')::NUMERIC / 10000000, 2) AS expenses_crore,
    ROUND((pl.consolidated_json -&gt;&gt; 'EmployeeBenefitExpense')::NUMERIC / 10000000, 2) AS employee_benefits_crore,
    ROUND((pl.consolidated_json -&gt;&gt; 'FeesAndCommissionExpense')::NUMERIC / 10000000, 2) AS fees_commission_expense_crore,
    ROUND((pl.consolidated_json -&gt;&gt; 'NetLossOnFairValueChanges')::NUMERIC / 10000000, 2) AS net_loss_fair_value_crore,
    ROUND((pl.consolidated_json -&gt;&gt; 'NetLossOnDerecognitionOfFinancialInstrumentsUnderAmortisedCostCategory')::NUMERIC / 10000000, 2) AS net_loss_derecognition_crore,
    ROUND((pl.consolidated_json -&gt;&gt; 'ImpairmentOnFinancialInstruments')::NUMERIC / 10000000, 2) AS impairment_financial_instruments_crore,
    ROUND((pl.consolidated_json -&gt;&gt; 'OtherExpenses')::NUMERIC / 10000000, 2) AS other_expenses_crore,
    ROUND((pl.consolidated_json -&gt;&gt; 'FinanceCosts')::NUMERIC / 10000000, 2) AS finance_costs_crore,
    ROUND((pl.consolidated_json -&gt;&gt; 'DepreciationDepletionAndAmortisationExpense')::NUMERIC / 10000000, 2) AS depreciation_crore
FROM public.profit_losses pl
JOIN public.company_profiles cp ON pl.stock_symbol = cp.stock_symbol
WHERE
   (
        -- Expenses check
        ABS(ROUND((pl.consolidated_json -&gt;&gt; 'Expenses')::NUMERIC / 10000000, 2) -
        ROUND((
            COALESCE((pl.consolidated_json -&gt;&gt; 'CostOfMaterialsConsumed')::NUMERIC, 0) +
            COALESCE((pl.consolidated_json -&gt;&gt; 'PurchasesOfStockInTrade')::NUMERIC, 0) +
            COALESCE((pl.consolidated_json -&gt;&gt; 'ChangesInInventoriesOfFinishedGoodsWorkInProgressAndStockInTrade')::NUMERIC, 0) +
			COALESCE((pl.consolidated_json -&gt;&gt; 'EmployeeBenefitExpense')::NUMERIC, 0) +
            COALESCE((pl.consolidated_json -&gt;&gt; 'FeesAndCommissionExpense')::NUMERIC, 0) +
            COALESCE((pl.consolidated_json -&gt;&gt; 'NetLossOnFairValueChanges')::NUMERIC, 0) +
            COALESCE((pl.consolidated_json -&gt;&gt; 'NetLossOnDerecognitionOfFinancialInstrumentsUnderAmortisedCostCategory')::NUMERIC, 0) +
            COALESCE((pl.consolidated_json -&gt;&gt; 'ImpairmentOnFinancialInstruments')::NUMERIC, 0) +
            COALESCE((pl.consolidated_json -&gt;&gt; 'OtherExpenses')::NUMERIC, 0) +
            COALESCE((pl.consolidated_json -&gt;&gt; 'FinanceCosts')::NUMERIC, 0) +
            COALESCE((pl.consolidated_json -&gt;&gt; 'DepreciationDepletionAndAmortisationExpense')::NUMERIC, 0)
        ) / 10000000, 2)) &gt; 1
    ) and cp.industry not in ('Banks','Insurance')
ORDER BY cp.market_cap DESC;</t>
  </si>
  <si>
    <r>
      <t xml:space="preserve">EXPENSES  = child match
</t>
    </r>
    <r>
      <rPr>
        <sz val="12"/>
        <color rgb="FFFF0000"/>
        <rFont val="Aptos Narrow (Body)"/>
      </rPr>
      <t>{
  "FeesAndCommissionExpense": 2779822000,
  "ImpairmentOnFinancialInstruments": 14628000
}</t>
    </r>
  </si>
  <si>
    <t>10 - 4 (All are Q records exept 1)</t>
  </si>
  <si>
    <t xml:space="preserve">0-1
NI is not considered as part of total Equity. </t>
  </si>
  <si>
    <t xml:space="preserve">6-2
Small Diff and manageable
</t>
  </si>
  <si>
    <t xml:space="preserve">10-3
</t>
  </si>
  <si>
    <t>Waiting for Q results</t>
  </si>
  <si>
    <t>Waiting for Q shares</t>
  </si>
  <si>
    <t>SELECT * FROM public.commodity_indexes where code = '1101040000' order by timestamp desc</t>
  </si>
  <si>
    <t>Commodity verification</t>
  </si>
  <si>
    <t xml:space="preserve">Users by date! </t>
  </si>
  <si>
    <t>SELECT DISTINCT 
    ss.stock_symbol,
    cp.market_cap
FROM shareholder_summaries ss
JOIN company_profiles cp 
    ON cp.stock_symbol = ss.stock_symbol
WHERE ss.stock_symbol NOT IN (
    SELECT DISTINCT stock_symbol
    FROM shareholder_summaries
    WHERE date_header = 'Dec 2025'
	--and cp.active = 'true'
      --AND period = 'Quarterly'
)
ORDER BY cp.market_cap desc</t>
  </si>
  <si>
    <t>SELECT 
    cp.company_name,
    cp.stock_symbol,
    sr.*
FROM public.segment_revenues sr
JOIN public.company_profiles cp
    ON sr.stock_symbol = cp.stock_symbol
WHERE cp.company_name ILIKE '%insurance%'
ORDER BY sr.timestamp DESC;</t>
  </si>
  <si>
    <t>SELECT 
    h.stock_symbol,
    h.period,
    h.from_date,
    h.to_date,
    cp.market_cap,
    cp.company_type
FROM utils.company_exchange_xbrls h
JOIN company_profiles cp 
    ON cp.stock_symbol = h.stock_symbol
WHERE h.period = 'Half Yearly'
AND NOT EXISTS (
    SELECT 1
    FROM utils.company_exchange_xbrls q
    WHERE q.stock_symbol = h.stock_symbol
    AND q.period = 'Quarterly'
    AND to_date(q.to_date, 'DD-MON-YYYY') = to_date(h.to_date, 'DD-MON-YYYY')
)
ORDER BY cp.market_cap DESC;</t>
  </si>
  <si>
    <t>Half yearely records</t>
  </si>
  <si>
    <t>SELECT DISTINCT 
    pl.stock_symbol,
    cp.market_cap
FROM profit_losses pl
JOIN company_profiles cp 
    ON cp.stock_symbol = pl.stock_symbol
WHERE (pl.stock_symbol NOT IN (
    SELECT DISTINCT stock_symbol
    FROM profit_losses
    WHERE date_header = 'Dec 2025'
      AND period = 'Quarterly'
	  --AND cp.active = 'true'	
)) and cp.active = 'true' and cp.quote_date &gt;= '2026-02-01'
ORDER BY cp.market_cap desc</t>
  </si>
  <si>
    <t>WITH generic_symbols AS (
  SELECT json_data.key AS stock_symbol
  FROM generic_data gd
  JOIN LATERAL jsonb_each_text(gd.time_map) AS json_data(key, value) ON true
),
filtered_data AS (
  SELECT ss.*
  FROM shareholder_summaries ss
  INNER JOIN generic_symbols gs ON ss.stock_symbol = gs.stock_symbol
),
ordered_data AS (
  SELECT
    fd.stock_symbol,
    fd.to_date,
    (fd.shareholding_pattern -&gt;&gt; 'NumberOfShares')::BIGINT AS number_of_shares,
    fd.shareholding_pattern -&gt;&gt; 'NumberOfSharesOriginal' AS number_of_shares_original,
    LAG((fd.shareholding_pattern -&gt;&gt; 'NumberOfShares')::BIGINT) OVER (
      PARTITION BY fd.stock_symbol
      ORDER BY fd.to_date DESC
    ) AS prev_number_of_shares
  FROM filtered_data fd
),
with_percent_increase AS (
  SELECT
    stock_symbol,
    to_date,
    number_of_shares,
    number_of_shares_original,
    prev_number_of_shares,
    ROUND((number_of_shares - prev_number_of_shares) * 100.0 / prev_number_of_shares, 2) AS shares_percent_increase
  FROM ordered_data
  WHERE prev_number_of_shares IS NOT NULL
    AND prev_number_of_shares &gt; 0
)
SELECT
  wpi.stock_symbol,
  cp.company_type, 
  wpi.to_date,
  wpi.number_of_shares,
  wpi.number_of_shares_original,
  wpi.prev_number_of_shares,
  wpi.shares_percent_increase,
  sbu.corp_action,
  sbu.numerator,
  sbu.denominator,
  sbu.ex_date,
  sbu.ex_date_override,
  sbu.comments,
  cp.market_cap,
  CASE
    WHEN sbu.corp_action IN ('Bonus', 'Rights') AND sbu.denominator != 0 THEN
      ROUND(1 + sbu.numerator::NUMERIC / sbu.denominator, 4)
    WHEN sbu.corp_action = 'Split' AND sbu.denominator != 0 THEN
      ROUND(sbu.numerator::NUMERIC / sbu.denominator, 4)
    ELSE NULL
  END AS multiplier,
  ROUND(wpi.number_of_shares::NUMERIC / NULLIF(wpi.prev_number_of_shares, 0), 4) AS share_ratio,
  ROUND(wpi.prev_number_of_shares::NUMERIC / NULLIF(wpi.number_of_shares, 0), 4) AS rev_share_ratio,
  CASE
    WHEN ROUND(wpi.number_of_shares::NUMERIC / NULLIF(wpi.prev_number_of_shares, 0), 4) =
         CASE
           WHEN sbu.corp_action IN ('Bonus', 'Rights') AND sbu.denominator != 0 THEN
             ROUND(1 + sbu.numerator::NUMERIC / sbu.denominator, 4)
           WHEN sbu.corp_action = 'Split' AND sbu.denominator != 0 THEN
             ROUND(sbu.numerator::NUMERIC / sbu.denominator, 4)
           ELSE NULL
         END THEN 'TRUE'
    ELSE ''
  END AS check_1,
  CASE
    WHEN ROUND(wpi.prev_number_of_shares::NUMERIC / NULLIF(wpi.number_of_shares, 0), 4) =
         CASE
           WHEN sbu.corp_action IN ('Bonus', 'Rights') AND sbu.denominator != 0 THEN
             ROUND(1 + sbu.numerator::NUMERIC / sbu.denominator, 4)
           WHEN sbu.corp_action = 'Split' AND sbu.denominator != 0 THEN
             ROUND(sbu.numerator::NUMERIC / sbu.denominator, 4)
           ELSE NULL
         END THEN 'TRUE'
    ELSE ''
  END AS check_2,
  DATE_PART('year', wpi.to_date) * 12 + DATE_PART('month', wpi.to_date) -
  (DATE_PART('year', sbu.ex_date) * 12 + DATE_PART('month', sbu.ex_date)) AS month_diff,
  CASE
    WHEN wpi.shares_percent_increase &gt; 0 THEN 'Increase'
    WHEN wpi.shares_percent_increase &lt; 0 THEN 'Decrease'
    ELSE 'No Change'
  END AS change_direction
FROM with_percent_increase wpi
LEFT JOIN utils.split_bonus_utils sbu ON wpi.stock_symbol = sbu.stock_symbol
LEFT JOIN company_profiles cp ON wpi.stock_symbol = cp.stock_symbol
WHERE ABS(wpi.shares_percent_increase) &gt; 25
  AND cp.company_name NOT ILIKE '%Mutual Fund%'   -- ✅ Added condition
  AND cp.company_type in ('equity','SME')
  AND (sbu.comments = '' or sbu.comments is null or sbu.comments = 'Automated override')
ORDER BY wpi.shares_percent_increase DESC;</t>
  </si>
  <si>
    <r>
      <t xml:space="preserve">Get % change between 2 price point based om </t>
    </r>
    <r>
      <rPr>
        <b/>
        <sz val="16"/>
        <color theme="1"/>
        <rFont val="Aptos Narrow"/>
        <scheme val="minor"/>
      </rPr>
      <t>Market_CAP</t>
    </r>
  </si>
  <si>
    <t>select * from company_profiles where active = 'true' and 
(description = '' or macro_sector = '' or
 sector = '' or industry = '' or sub_industry = '')
select * from utils.company_exchange_data where stock_symbol in ('')
select macro_sector, sector, industry, sub_industry from company_profiles where active = 'true' 
SELECT *
FROM company_profiles
WHERE active = 'true'
  AND LENGTH(description) &lt; 100;</t>
  </si>
  <si>
    <t>WITH ranked_quotes AS (
    SELECT
        dq.*,
        cp.company_name,
        cp.market_cap AS cp_market_cap,
        LAG(dq.market_cap) OVER (
            PARTITION BY dq.stock_symbol 
            ORDER BY dq.quote_date DESC
        ) AS prev_market_cap
    FROM daily_quotes dq
    JOIN company_profiles cp 
        ON cp.stock_symbol = dq.stock_symbol
    WHERE cp.market_cap &gt; 0
      AND dq.inactive = 'false'
      AND cp.active = 'true'
      AND dq.quote_date &lt;&gt; '0001-01-01 00:00:00'
      AND dq.quote_date &gt;= '2015-01-01 00:00:00'
      AND dq.open_price &lt;&gt; '0'
      AND cp.company_type = 'SME'
),
pct_change AS (
    SELECT
        *,
        CASE 
            WHEN prev_market_cap IS NULL OR prev_market_cap = 0 THEN NULL
            ELSE ((market_cap - prev_market_cap) / prev_market_cap) * 100
        END AS market_cap_pct_change
    FROM ranked_quotes
)
SELECT
    stock_symbol,
    quote_date,
    ROUND(open_price::numeric, 2)            AS open_price,
    ROUND(market_cap::numeric, 2)            AS market_cap,
    ROUND(prev_market_cap::numeric, 2)       AS prev_market_cap,
    ROUND(market_cap_pct_change::numeric, 2) AS market_cap_pct_change,
    company_name,
    cp_market_cap
FROM pct_change
WHERE market_cap_pct_change IS NOT NULL
  AND ABS(market_cap_pct_change) &gt;= 25
ORDER BY market_cap_pct_change DESC;</t>
  </si>
  <si>
    <r>
      <rPr>
        <b/>
        <sz val="12"/>
        <color theme="1"/>
        <rFont val="Aptos Narrow"/>
        <scheme val="minor"/>
      </rPr>
      <t>select * from shareholder_summaries where stock_symbol = 'ITC' order by timestamp desc</t>
    </r>
    <r>
      <rPr>
        <sz val="12"/>
        <color theme="1"/>
        <rFont val="Aptos Narrow"/>
        <family val="2"/>
        <scheme val="minor"/>
      </rPr>
      <t xml:space="preserve">
--SELECT stock_symbol, period, from_date, to_date, bse_shareholding_xbrl_url, nse_shareholding_xbrl_url 
--FROM utils.company_exchange_xbrls where stock_symbol = '543928' 
</t>
    </r>
    <r>
      <rPr>
        <sz val="12"/>
        <color rgb="FFFF0000"/>
        <rFont val="Aptos Narrow (Body)"/>
      </rPr>
      <t xml:space="preserve">
Select * from utils.split_bonus_utils where stock_symbol = 'ITC' </t>
    </r>
  </si>
  <si>
    <t>WITH last_7_days AS (
    SELECT generate_series(CURRENT_DATE - 6, CURRENT_DATE, '1 day'::interval)::date AS day_date
),
-- 1. Job history for last 7 days (for 7-day audit check)
job_history AS (
    SELECT 'user_profiles' AS table_name, last_updated_at::date AS run_date
    FROM "user".user_profiles
    WHERE last_updated_at &gt;= CURRENT_DATE - 6
    UNION ALL
    SELECT 'company_exchange_data', updated_at::date
    FROM utils.company_exchange_data
    WHERE updated_at &gt;= CURRENT_DATE - 6
    UNION ALL
    SELECT 'company_exchange_xbrls', updated_at::date
    FROM utils.company_exchange_xbrls
    WHERE updated_at &gt;= CURRENT_DATE - 6
    UNION ALL
    SELECT 'corp_announcements', updated_at::date
    FROM utils.corp_announcements
    WHERE updated_at &gt;= CURRENT_DATE - 6
    UNION ALL
    SELECT 'dividend_utils', updated_at::date
    FROM utils.dividend_utils
    WHERE updated_at &gt;= CURRENT_DATE - 6
    UNION ALL
    SELECT 'split_bonus_utils', updated_at::date
    FROM utils.split_bonus_utils
    WHERE updated_at &gt;= CURRENT_DATE - 6
    UNION ALL
    SELECT 'balance_sheets', updated_at::date
    FROM balance_sheets
    WHERE updated_at &gt;= CURRENT_DATE - 6
    UNION ALL
    SELECT 'cash_flows', updated_at::date
    FROM cash_flows
    WHERE updated_at &gt;= CURRENT_DATE - 6
    UNION ALL
    SELECT 'profit_losses', updated_at::date
    FROM profit_losses
    WHERE updated_at &gt;= CURRENT_DATE - 6
    UNION ALL
    SELECT 'segment_revenues', updated_at::date
    FROM segment_revenues
    WHERE updated_at &gt;= CURRENT_DATE - 6
    UNION ALL
    SELECT 'historical_ratios', updated_at::date
    FROM historical_ratios
    WHERE updated_at &gt;= CURRENT_DATE - 6
    UNION ALL
    SELECT 'master_ratios', updated_at::date
    FROM master_ratios
    WHERE updated_at &gt;= CURRENT_DATE - 6
    UNION ALL
    SELECT 'company_profiles', updated_at::date
    FROM company_profiles
    WHERE updated_at &gt;= CURRENT_DATE - 6
    UNION ALL
    SELECT 'share_ownerships', updated_at::date
    FROM share_ownerships
    WHERE updated_at &gt;= CURRENT_DATE - 6
    UNION ALL
    SELECT 'share_ownership_histories', updated_at::date
    FROM share_ownership_histories
    WHERE updated_at &gt;= CURRENT_DATE - 6
    UNION ALL
    SELECT 'shareholders', updated_at::date
    FROM shareholders
    WHERE updated_at &gt;= CURRENT_DATE - 6
    UNION ALL
    SELECT 'shareholder_summaries', updated_at::date
    FROM shareholder_summaries
    WHERE updated_at &gt;= CURRENT_DATE - 6
    UNION ALL
    SELECT 'shareholder_normalized_names', updated_at::date
    FROM shareholder_normalized_names
    WHERE updated_at &gt;= CURRENT_DATE - 6
    UNION ALL
    SELECT 'daily_quotes', updated_at::date
    FROM daily_quotes
    WHERE updated_at &gt;= CURRENT_DATE - 6
    UNION ALL
    SELECT 'yearly_historical_quotes', updated_at::date
    FROM yearly_historical_quotes
    WHERE updated_at &gt;= CURRENT_DATE - 6
    UNION ALL
    SELECT 'index_historical_quotes', updated_at::date
    FROM index_historical_quotes
    WHERE updated_at &gt;= CURRENT_DATE - 6
    UNION ALL
    SELECT 'index_masters', updated_at::date
    FROM index_masters
    WHERE updated_at &gt;= CURRENT_DATE - 6
    UNION ALL
    SELECT 'yearly_dividends', updated_at::date
    FROM yearly_dividends
    WHERE updated_at &gt;= CURRENT_DATE - 6
    UNION ALL
    SELECT 'commodities_calendars', updated_at::date
    FROM commodities_calendars
    -- no filter here, to get last update even if old
    -- we will filter in status later
    UNION ALL
    SELECT 'commodity_indexes', updated_at::date
    FROM commodity_indexes
    WHERE updated_at &gt;= CURRENT_DATE - 6
    UNION ALL
    SELECT 'commodity_types', updated_at::date
    FROM commodity_types
    WHERE updated_at &gt;= CURRENT_DATE - 6
    UNION ALL
    SELECT 'generic_data', updated_at::date
    FROM generic_data
    WHERE updated_at &gt;= CURRENT_DATE - 6
    UNION ALL
    SELECT 'trading_holiday_calendars', updated_at::date
    FROM trading_holiday_calendars
    WHERE updated_at &gt;= CURRENT_DATE - 6
    -- NEW TABLES
    UNION ALL
    SELECT 'ipo_calendar', updated_at::date
    FROM utils.ipo_calendar
    WHERE updated_at &gt;= CURRENT_DATE - 6
    UNION ALL
    SELECT 'fund_houses', updated_at::date
    FROM mf.fund_houses
    WHERE updated_at &gt;= CURRENT_DATE - 6
    UNION ALL
    SELECT 'mf_profiles', updated_at::date
    FROM mf.mf_profiles
    WHERE updated_at &gt;= CURRENT_DATE - 6
    UNION ALL
    SELECT 'mf_schemes', updated_at::date
    FROM mf.mf_schemes
    WHERE updated_at &gt;= CURRENT_DATE - 6
),
-- 2. Last known updated_at for every table (all time)
last_update AS (
    SELECT 'user_profiles' AS table_name, MAX(last_updated_at)::date AS max_run_date FROM "user".user_profiles
    UNION ALL SELECT 'company_exchange_data', MAX(updated_at)::date FROM utils.company_exchange_data
    UNION ALL SELECT 'company_exchange_xbrls', MAX(updated_at)::date FROM utils.company_exchange_xbrls
    UNION ALL SELECT 'corp_announcements', MAX(updated_at)::date FROM utils.corp_announcements
    UNION ALL SELECT 'dividend_utils', MAX(updated_at)::date FROM utils.dividend_utils
    UNION ALL SELECT 'split_bonus_utils', MAX(updated_at)::date FROM utils.split_bonus_utils
    UNION ALL SELECT 'balance_sheets', MAX(updated_at)::date FROM balance_sheets
    UNION ALL SELECT 'cash_flows', MAX(updated_at)::date FROM cash_flows
    UNION ALL SELECT 'profit_losses', MAX(updated_at)::date FROM profit_losses
    UNION ALL SELECT 'segment_revenues', MAX(updated_at)::date FROM segment_revenues
    UNION ALL SELECT 'historical_ratios', MAX(updated_at)::date FROM historical_ratios
    UNION ALL SELECT 'master_ratios', MAX(updated_at)::date FROM master_ratios
    UNION ALL SELECT 'company_profiles', MAX(updated_at)::date FROM company_profiles
    UNION ALL SELECT 'share_ownerships', MAX(updated_at)::date FROM share_ownerships
    UNION ALL SELECT 'share_ownership_histories', MAX(updated_at)::date FROM share_ownership_histories
    UNION ALL SELECT 'shareholders', MAX(updated_at)::date FROM shareholders
    UNION ALL SELECT 'shareholder_summaries', MAX(updated_at)::date FROM shareholder_summaries
    UNION ALL SELECT 'shareholder_normalized_names', MAX(updated_at)::date FROM shareholder_normalized_names
    UNION ALL SELECT 'daily_quotes', MAX(updated_at)::date FROM daily_quotes
    UNION ALL SELECT 'yearly_historical_quotes', MAX(updated_at)::date FROM yearly_historical_quotes
    UNION ALL SELECT 'index_historical_quotes', MAX(updated_at)::date FROM index_historical_quotes
    UNION ALL SELECT 'index_masters', MAX(updated_at)::date FROM index_masters
    UNION ALL SELECT 'yearly_dividends', MAX(updated_at)::date FROM yearly_dividends
    UNION ALL SELECT 'commodities_calendars', MAX(updated_at)::date FROM commodities_calendars
    UNION ALL SELECT 'commodity_indexes', MAX(updated_at)::date FROM commodity_indexes
    UNION ALL SELECT 'commodity_types', MAX(updated_at)::date FROM commodity_types
    UNION ALL SELECT 'generic_data', MAX(updated_at)::date FROM generic_data
    UNION ALL SELECT 'trading_holiday_calendars', MAX(updated_at)::date FROM trading_holiday_calendars
    -- NEW TABLES
    UNION ALL SELECT 'ipo_calendar', MAX(updated_at)::date FROM utils.ipo_calendar
    UNION ALL SELECT 'fund_houses', MAX(updated_at)::date FROM mf.fund_houses
    UNION ALL SELECT 'mf_profiles', MAX(updated_at)::date FROM mf.mf_profiles
    UNION ALL SELECT 'mf_schemes', MAX(updated_at)::date FROM mf.mf_schemes
),
-- 3. List of all tables
table_list AS (
    SELECT DISTINCT table_name FROM last_update
),
-- 4. Cross join tables with last 7 days
table_dates AS (
    SELECT t.table_name, d.day_date
    FROM table_list t
    CROSS JOIN last_7_days d
),
-- 5. Left join to see last run on or before that day
status_check AS (
    SELECT
        td.table_name,
        td.day_date,
        MAX(jh.run_date) AS last_run_date
    FROM table_dates td
    LEFT JOIN job_history jh
        ON jh.table_name = td.table_name
        AND jh.run_date &lt;= td.day_date
    GROUP BY td.table_name, td.day_date
)
-- 6. Pivot 7 days with last update fallback
SELECT
    sc.table_name,
    MAX(CASE WHEN sc.day_date = CURRENT_DATE THEN
        CASE
            WHEN sc.last_run_date = CURRENT_DATE THEN 'OK'
            ELSE 'Updated ' || (CURRENT_DATE - COALESCE(sc.last_run_date, lu.max_run_date)) || ' days back'
        END
    END) AS d0_today,
    MAX(CASE WHEN sc.day_date = CURRENT_DATE - 1 THEN
        CASE
            WHEN sc.last_run_date = CURRENT_DATE - 1 THEN 'OK'
            ELSE 'Updated ' || ((CURRENT_DATE - 1) - COALESCE(sc.last_run_date, lu.max_run_date)) || ' days back'
        END
    END) AS d1_minus_1,
    MAX(CASE WHEN sc.day_date = CURRENT_DATE - 2 THEN
        CASE
            WHEN sc.last_run_date = CURRENT_DATE - 2 THEN 'OK'
            ELSE 'Updated ' || ((CURRENT_DATE - 2) - COALESCE(sc.last_run_date, lu.max_run_date)) || ' days back'
        END
    END) AS d2_minus_2,
    MAX(CASE WHEN sc.day_date = CURRENT_DATE - 3 THEN
        CASE
            WHEN sc.last_run_date = CURRENT_DATE - 3 THEN 'OK'
            ELSE 'Updated ' || ((CURRENT_DATE - 3) - COALESCE(sc.last_run_date, lu.max_run_date)) || ' days back'
        END
    END) AS d3_minus_3,
    MAX(CASE WHEN sc.day_date = CURRENT_DATE - 4 THEN
        CASE
            WHEN sc.last_run_date = CURRENT_DATE - 4 THEN 'OK'
            ELSE 'Updated ' || ((CURRENT_DATE - 4) - COALESCE(sc.last_run_date, lu.max_run_date)) || ' days back'
        END
    END) AS d4_minus_4,
    MAX(CASE WHEN sc.day_date = CURRENT_DATE - 5 THEN
        CASE
            WHEN sc.last_run_date = CURRENT_DATE - 5 THEN 'OK'
            ELSE 'Updated ' || ((CURRENT_DATE - 5) - COALESCE(sc.last_run_date, lu.max_run_date)) || ' days back'
        END
    END) AS d5_minus_5,
    MAX(CASE WHEN sc.day_date = CURRENT_DATE - 6 THEN
        CASE
            WHEN sc.last_run_date = CURRENT_DATE - 6 THEN 'OK'
            ELSE 'Updated ' || ((CURRENT_DATE - 6) - COALESCE(sc.last_run_date, lu.max_run_date)) || ' days back'
        END
    END) AS d6_minus_6
FROM status_check sc
LEFT JOIN last_update lu
    ON sc.table_name = lu.table_name
GROUP BY sc.table_name
ORDER BY d0_today desc;</t>
  </si>
  <si>
    <t>WITH date_series AS (
    SELECT generate_series(
        (SELECT MIN(DATE(created_at)) FROM "user".user_profiles),
        (SELECT MAX(DATE(created_at)) FROM "user".user_profiles),
        INTERVAL '1 day'
    )::date AS acquisition_date
)
SELECT 
    ds.acquisition_date,
    TO_CHAR(ds.acquisition_date, 'FMDay') AS day_name,
    COALESCE(COUNT(up.profile_id), 0) AS users_acquired,
    COALESCE(
        STRING_AGG(up.username, ', ' ORDER BY up.username),
        ''
    ) AS usernames
FROM date_series ds
LEFT JOIN "user".user_profiles up
    ON DATE(up.created_at) = ds.acquisition_date
GROUP BY ds.acquisition_date
ORDER BY ds.acquisition_date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</si>
</sst>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%"/>
    <numFmt numFmtId="165" formatCode="0.000%"/>
    <numFmt numFmtId="166" formatCode="&quot;$&quot;#,##0.00"/>
    <numFmt numFmtId="167" formatCode="&quot;$&quot;#,##0"/>
    <numFmt numFmtId="168" formatCode="mmm\ yyyy"/>
  </numFmts>
  <fonts count="2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432FF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b/>
      <sz val="12"/>
      <color rgb="FF0432FF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0432FF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color rgb="FFFF0000"/>
      <name val="Aptos Narrow"/>
      <scheme val="minor"/>
    </font>
    <font>
      <sz val="14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u/>
      <sz val="24"/>
      <color theme="0"/>
      <name val="Aptos Narrow"/>
      <family val="2"/>
      <scheme val="minor"/>
    </font>
    <font>
      <sz val="12"/>
      <color rgb="FF000000"/>
      <name val="Aptos Narrow"/>
      <scheme val="minor"/>
    </font>
    <font>
      <sz val="14"/>
      <color rgb="FF000000"/>
      <name val="Helvetica"/>
      <family val="2"/>
    </font>
    <font>
      <sz val="14"/>
      <color theme="1"/>
      <name val="Helvetica"/>
      <family val="2"/>
    </font>
    <font>
      <b/>
      <sz val="14"/>
      <color rgb="FFFF0000"/>
      <name val="Aptos Narrow"/>
      <scheme val="minor"/>
    </font>
    <font>
      <sz val="12"/>
      <color rgb="FFFF0000"/>
      <name val="Aptos Narrow"/>
      <scheme val="minor"/>
    </font>
    <font>
      <sz val="12"/>
      <color rgb="FFFF0000"/>
      <name val="Aptos Narrow (Body)"/>
    </font>
    <font>
      <sz val="16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8"/>
      <color rgb="FFFF0000"/>
      <name val="Aptos Narrow (Body)"/>
    </font>
    <font>
      <sz val="14"/>
      <color rgb="FFFF0000"/>
      <name val="Aptos"/>
    </font>
    <font>
      <sz val="14"/>
      <color theme="1"/>
      <name val="Aptos"/>
    </font>
    <font>
      <sz val="12"/>
      <color theme="8"/>
      <name val="Aptos Narrow"/>
      <family val="2"/>
      <scheme val="minor"/>
    </font>
    <font>
      <b/>
      <sz val="16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5FDE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EFDAB"/>
        <bgColor indexed="64"/>
      </patternFill>
    </fill>
    <fill>
      <patternFill patternType="solid">
        <fgColor rgb="FFFFF05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EFDAB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67">
    <xf numFmtId="0" fontId="0" fillId="0" borderId="0" xfId="0"/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1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 vertical="top"/>
    </xf>
    <xf numFmtId="2" fontId="4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3" fillId="0" borderId="0" xfId="0" applyNumberFormat="1" applyFont="1" applyAlignment="1">
      <alignment horizontal="left" vertical="top" wrapText="1"/>
    </xf>
    <xf numFmtId="2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 wrapText="1"/>
    </xf>
    <xf numFmtId="2" fontId="6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left" vertical="top" wrapText="1"/>
    </xf>
    <xf numFmtId="2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65" fontId="3" fillId="3" borderId="0" xfId="1" applyNumberFormat="1" applyFont="1" applyFill="1" applyAlignment="1">
      <alignment horizontal="left" vertical="center"/>
    </xf>
    <xf numFmtId="2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14" fillId="5" borderId="0" xfId="2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4" fontId="16" fillId="0" borderId="0" xfId="0" applyNumberFormat="1" applyFont="1"/>
    <xf numFmtId="4" fontId="17" fillId="0" borderId="0" xfId="0" applyNumberFormat="1" applyFont="1"/>
    <xf numFmtId="0" fontId="3" fillId="6" borderId="0" xfId="0" applyFont="1" applyFill="1" applyAlignment="1">
      <alignment horizontal="left" vertical="top" wrapText="1"/>
    </xf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wrapText="1"/>
    </xf>
    <xf numFmtId="0" fontId="19" fillId="0" borderId="0" xfId="0" applyFont="1"/>
    <xf numFmtId="0" fontId="5" fillId="7" borderId="0" xfId="0" applyFont="1" applyFill="1" applyAlignment="1">
      <alignment vertical="top" wrapText="1"/>
    </xf>
    <xf numFmtId="1" fontId="9" fillId="0" borderId="0" xfId="0" applyNumberFormat="1" applyFont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left" vertical="top"/>
    </xf>
    <xf numFmtId="0" fontId="7" fillId="0" borderId="0" xfId="0" applyFont="1" applyAlignment="1">
      <alignment horizontal="center" vertical="center" wrapText="1"/>
    </xf>
    <xf numFmtId="164" fontId="7" fillId="0" borderId="0" xfId="1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6" fillId="0" borderId="0" xfId="0" applyFont="1"/>
    <xf numFmtId="0" fontId="7" fillId="3" borderId="0" xfId="0" applyFont="1" applyFill="1" applyAlignment="1">
      <alignment horizontal="center" vertical="center" wrapText="1"/>
    </xf>
    <xf numFmtId="0" fontId="0" fillId="3" borderId="0" xfId="0" applyFill="1"/>
    <xf numFmtId="0" fontId="22" fillId="8" borderId="0" xfId="0" applyFont="1" applyFill="1" applyAlignment="1">
      <alignment horizontal="left" vertical="top" wrapText="1"/>
    </xf>
    <xf numFmtId="0" fontId="22" fillId="8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top" wrapText="1"/>
    </xf>
    <xf numFmtId="0" fontId="0" fillId="3" borderId="0" xfId="0" applyFill="1" applyAlignment="1">
      <alignment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top" wrapText="1"/>
    </xf>
    <xf numFmtId="0" fontId="5" fillId="3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0" fontId="6" fillId="10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center"/>
    </xf>
    <xf numFmtId="2" fontId="3" fillId="3" borderId="0" xfId="0" applyNumberFormat="1" applyFont="1" applyFill="1" applyAlignment="1">
      <alignment horizontal="left" vertical="top" wrapText="1"/>
    </xf>
    <xf numFmtId="2" fontId="3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left" vertical="top" wrapText="1"/>
    </xf>
    <xf numFmtId="0" fontId="3" fillId="9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5" fillId="0" borderId="0" xfId="0" applyFont="1"/>
    <xf numFmtId="0" fontId="7" fillId="2" borderId="0" xfId="0" applyFont="1" applyFill="1" applyAlignment="1">
      <alignment wrapText="1"/>
    </xf>
    <xf numFmtId="0" fontId="2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7" fillId="3" borderId="0" xfId="0" applyFont="1" applyFill="1" applyAlignment="1">
      <alignment vertical="top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left" vertical="top"/>
    </xf>
    <xf numFmtId="0" fontId="0" fillId="6" borderId="0" xfId="0" applyFill="1" applyAlignment="1">
      <alignment wrapText="1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6" fillId="6" borderId="0" xfId="0" applyFont="1" applyFill="1"/>
    <xf numFmtId="0" fontId="5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0" fillId="6" borderId="0" xfId="0" applyFill="1" applyAlignment="1">
      <alignment vertical="top" wrapText="1"/>
    </xf>
    <xf numFmtId="0" fontId="5" fillId="3" borderId="0" xfId="0" applyFont="1" applyFill="1" applyAlignment="1">
      <alignment vertical="center"/>
    </xf>
    <xf numFmtId="0" fontId="5" fillId="12" borderId="0" xfId="0" applyFont="1" applyFill="1"/>
    <xf numFmtId="0" fontId="5" fillId="12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1" fontId="24" fillId="3" borderId="0" xfId="0" applyNumberFormat="1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17" fontId="25" fillId="3" borderId="0" xfId="0" applyNumberFormat="1" applyFont="1" applyFill="1" applyAlignment="1">
      <alignment horizontal="center" vertical="center"/>
    </xf>
    <xf numFmtId="1" fontId="25" fillId="3" borderId="0" xfId="0" applyNumberFormat="1" applyFont="1" applyFill="1" applyAlignment="1">
      <alignment horizontal="center" vertical="center"/>
    </xf>
    <xf numFmtId="9" fontId="0" fillId="0" borderId="0" xfId="1" applyFont="1" applyAlignment="1">
      <alignment horizontal="left" vertical="center"/>
    </xf>
    <xf numFmtId="168" fontId="25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wrapText="1"/>
    </xf>
    <xf numFmtId="0" fontId="4" fillId="6" borderId="0" xfId="0" applyFont="1" applyFill="1" applyAlignment="1">
      <alignment horizontal="left" vertical="top" wrapText="1"/>
    </xf>
    <xf numFmtId="0" fontId="5" fillId="6" borderId="0" xfId="0" applyFont="1" applyFill="1" applyAlignment="1">
      <alignment vertical="top" wrapText="1"/>
    </xf>
    <xf numFmtId="0" fontId="7" fillId="0" borderId="0" xfId="0" applyFont="1" applyAlignment="1">
      <alignment wrapText="1"/>
    </xf>
    <xf numFmtId="0" fontId="26" fillId="0" borderId="0" xfId="0" applyFont="1" applyAlignment="1">
      <alignment vertical="center" wrapText="1"/>
    </xf>
    <xf numFmtId="0" fontId="2" fillId="6" borderId="0" xfId="0" applyFont="1" applyFill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vertical="top" wrapText="1"/>
    </xf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vertical="top"/>
    </xf>
    <xf numFmtId="0" fontId="18" fillId="0" borderId="0" xfId="0" applyFont="1" applyAlignment="1">
      <alignment horizontal="center" vertical="center"/>
    </xf>
    <xf numFmtId="1" fontId="3" fillId="9" borderId="0" xfId="0" applyNumberFormat="1" applyFont="1" applyFill="1" applyAlignment="1">
      <alignment horizontal="center" vertical="center"/>
    </xf>
    <xf numFmtId="1" fontId="4" fillId="9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left" vertical="center" wrapText="1"/>
    </xf>
    <xf numFmtId="2" fontId="4" fillId="9" borderId="0" xfId="0" applyNumberFormat="1" applyFont="1" applyFill="1" applyAlignment="1">
      <alignment horizontal="center" vertical="center" wrapText="1"/>
    </xf>
    <xf numFmtId="0" fontId="4" fillId="9" borderId="0" xfId="0" applyFont="1" applyFill="1" applyAlignment="1">
      <alignment horizontal="left" vertical="center"/>
    </xf>
    <xf numFmtId="2" fontId="3" fillId="9" borderId="0" xfId="0" applyNumberFormat="1" applyFont="1" applyFill="1" applyAlignment="1">
      <alignment horizontal="center" vertical="center" wrapText="1"/>
    </xf>
    <xf numFmtId="0" fontId="0" fillId="9" borderId="0" xfId="0" applyFill="1" applyAlignment="1">
      <alignment vertical="center" wrapText="1"/>
    </xf>
    <xf numFmtId="166" fontId="0" fillId="0" borderId="0" xfId="0" applyNumberFormat="1" applyAlignment="1">
      <alignment vertical="top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wrapText="1"/>
    </xf>
    <xf numFmtId="0" fontId="0" fillId="13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wrapText="1"/>
    </xf>
    <xf numFmtId="0" fontId="0" fillId="12" borderId="0" xfId="0" applyFill="1" applyAlignment="1">
      <alignment horizontal="center" vertical="center" wrapText="1"/>
    </xf>
    <xf numFmtId="0" fontId="0" fillId="12" borderId="0" xfId="0" applyFill="1" applyAlignment="1">
      <alignment vertical="center" wrapText="1"/>
    </xf>
    <xf numFmtId="0" fontId="4" fillId="6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 wrapText="1"/>
    </xf>
    <xf numFmtId="0" fontId="5" fillId="2" borderId="0" xfId="0" applyFont="1" applyFill="1"/>
    <xf numFmtId="0" fontId="21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left" vertical="top" wrapText="1"/>
    </xf>
    <xf numFmtId="165" fontId="0" fillId="0" borderId="0" xfId="1" applyNumberFormat="1" applyFont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EFDAB"/>
      <color rgb="FFF5FDE5"/>
      <color rgb="FFFFF05F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308406</xdr:colOff>
      <xdr:row>1</xdr:row>
      <xdr:rowOff>3763</xdr:rowOff>
    </xdr:from>
    <xdr:to>
      <xdr:col>12</xdr:col>
      <xdr:colOff>273537</xdr:colOff>
      <xdr:row>3</xdr:row>
      <xdr:rowOff>607529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62E414-2069-38C6-4BD1-5DE805FCA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75690" y="207590"/>
          <a:ext cx="4951057" cy="4194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profit_loss_validation.sq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D561-9835-A34F-B18B-FE0937BD5B68}">
  <dimension ref="A1"/>
  <sheetViews>
    <sheetView zoomScale="125" workbookViewId="0">
      <selection activeCell="D18" sqref="D18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CA524-2088-3648-A715-6ED1719A6DCA}">
  <dimension ref="A1:G7"/>
  <sheetViews>
    <sheetView topLeftCell="A4" workbookViewId="0">
      <selection activeCell="B5" sqref="B5"/>
    </sheetView>
  </sheetViews>
  <sheetFormatPr baseColWidth="10" defaultRowHeight="16" x14ac:dyDescent="0.2"/>
  <cols>
    <col min="1" max="1" width="10.83203125" style="6"/>
    <col min="2" max="2" width="113.83203125" customWidth="1"/>
    <col min="3" max="3" width="27.6640625" customWidth="1"/>
    <col min="4" max="4" width="48.33203125" customWidth="1"/>
    <col min="5" max="5" width="34.5" customWidth="1"/>
  </cols>
  <sheetData>
    <row r="1" spans="1:7" x14ac:dyDescent="0.2">
      <c r="A1" s="40" t="s">
        <v>20</v>
      </c>
      <c r="B1" s="44" t="s">
        <v>78</v>
      </c>
      <c r="C1" s="44" t="s">
        <v>80</v>
      </c>
      <c r="D1" s="40" t="s">
        <v>66</v>
      </c>
      <c r="E1" s="40"/>
    </row>
    <row r="2" spans="1:7" ht="174" customHeight="1" x14ac:dyDescent="0.2">
      <c r="A2" s="121">
        <v>1</v>
      </c>
      <c r="B2" s="116" t="s">
        <v>259</v>
      </c>
      <c r="C2" s="117" t="s">
        <v>236</v>
      </c>
      <c r="D2" s="118" t="s">
        <v>239</v>
      </c>
      <c r="G2">
        <f>32.83/177</f>
        <v>0.18548022598870056</v>
      </c>
    </row>
    <row r="3" spans="1:7" ht="174" customHeight="1" x14ac:dyDescent="0.2">
      <c r="A3" s="75">
        <v>2</v>
      </c>
      <c r="B3" s="134" t="s">
        <v>264</v>
      </c>
      <c r="C3" s="77" t="s">
        <v>262</v>
      </c>
      <c r="D3" s="88" t="s">
        <v>263</v>
      </c>
      <c r="E3" s="137" t="s">
        <v>271</v>
      </c>
    </row>
    <row r="4" spans="1:7" ht="174" customHeight="1" x14ac:dyDescent="0.2">
      <c r="A4" s="157">
        <v>3</v>
      </c>
      <c r="B4" s="158" t="s">
        <v>330</v>
      </c>
      <c r="C4" s="159" t="s">
        <v>81</v>
      </c>
      <c r="D4" s="160" t="s">
        <v>321</v>
      </c>
      <c r="E4" s="137">
        <f>2016+4999</f>
        <v>7015</v>
      </c>
    </row>
    <row r="5" spans="1:7" ht="174" customHeight="1" x14ac:dyDescent="0.2">
      <c r="A5" s="154">
        <v>4</v>
      </c>
      <c r="B5" s="155" t="s">
        <v>326</v>
      </c>
      <c r="C5" s="156" t="s">
        <v>262</v>
      </c>
      <c r="D5" s="156" t="s">
        <v>322</v>
      </c>
      <c r="E5" s="137"/>
    </row>
    <row r="6" spans="1:7" ht="144" customHeight="1" x14ac:dyDescent="0.2">
      <c r="A6" s="6">
        <v>5</v>
      </c>
      <c r="B6" s="38" t="s">
        <v>235</v>
      </c>
      <c r="C6" s="11" t="s">
        <v>236</v>
      </c>
      <c r="D6" s="71" t="s">
        <v>240</v>
      </c>
    </row>
    <row r="7" spans="1:7" ht="145" customHeight="1" x14ac:dyDescent="0.2">
      <c r="A7" s="6">
        <v>6</v>
      </c>
      <c r="B7" s="38" t="s">
        <v>237</v>
      </c>
      <c r="C7" s="11" t="s">
        <v>238</v>
      </c>
      <c r="D7" s="57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32F5-1A4E-534A-9D50-E4882AA6411D}">
  <sheetPr>
    <tabColor rgb="FFFF0000"/>
  </sheetPr>
  <dimension ref="A1:F12"/>
  <sheetViews>
    <sheetView zoomScale="115" workbookViewId="0">
      <selection activeCell="B12" sqref="B12"/>
    </sheetView>
  </sheetViews>
  <sheetFormatPr baseColWidth="10" defaultRowHeight="16" x14ac:dyDescent="0.2"/>
  <cols>
    <col min="1" max="1" width="10.83203125" style="16"/>
    <col min="2" max="2" width="97" style="45" customWidth="1"/>
    <col min="3" max="3" width="8.83203125" style="6" bestFit="1" customWidth="1"/>
    <col min="4" max="4" width="27.83203125" style="6" customWidth="1"/>
    <col min="5" max="5" width="27.1640625" style="6" customWidth="1"/>
    <col min="6" max="6" width="38" style="45" customWidth="1"/>
    <col min="7" max="16384" width="10.83203125" style="45"/>
  </cols>
  <sheetData>
    <row r="1" spans="1:6" s="44" customFormat="1" x14ac:dyDescent="0.2">
      <c r="A1" s="40" t="s">
        <v>20</v>
      </c>
      <c r="B1" s="44" t="s">
        <v>78</v>
      </c>
      <c r="C1" s="40" t="s">
        <v>79</v>
      </c>
      <c r="D1" s="40" t="s">
        <v>80</v>
      </c>
      <c r="E1" s="40" t="s">
        <v>117</v>
      </c>
      <c r="F1" s="44" t="s">
        <v>176</v>
      </c>
    </row>
    <row r="2" spans="1:6" ht="132" customHeight="1" x14ac:dyDescent="0.2">
      <c r="A2" s="8">
        <v>1</v>
      </c>
      <c r="B2" s="39" t="s">
        <v>191</v>
      </c>
      <c r="C2" s="6" t="s">
        <v>77</v>
      </c>
      <c r="D2" s="6" t="s">
        <v>81</v>
      </c>
      <c r="E2" s="49" t="s">
        <v>192</v>
      </c>
      <c r="F2" s="81" t="s">
        <v>177</v>
      </c>
    </row>
    <row r="3" spans="1:6" ht="150" customHeight="1" x14ac:dyDescent="0.2">
      <c r="A3" s="8">
        <v>2</v>
      </c>
      <c r="B3" s="39" t="s">
        <v>193</v>
      </c>
      <c r="C3" s="6" t="s">
        <v>65</v>
      </c>
      <c r="D3" s="6" t="s">
        <v>81</v>
      </c>
      <c r="E3" s="49" t="s">
        <v>194</v>
      </c>
    </row>
    <row r="4" spans="1:6" ht="144" customHeight="1" x14ac:dyDescent="0.2">
      <c r="A4" s="8">
        <v>3</v>
      </c>
      <c r="B4" s="39" t="s">
        <v>195</v>
      </c>
      <c r="C4" s="6" t="s">
        <v>65</v>
      </c>
      <c r="D4" s="79" t="s">
        <v>158</v>
      </c>
      <c r="E4" s="49" t="s">
        <v>196</v>
      </c>
    </row>
    <row r="5" spans="1:6" ht="141" customHeight="1" x14ac:dyDescent="0.2">
      <c r="A5" s="8">
        <v>4</v>
      </c>
      <c r="B5" s="39" t="s">
        <v>197</v>
      </c>
      <c r="C5" s="6" t="s">
        <v>65</v>
      </c>
      <c r="D5" s="6" t="s">
        <v>159</v>
      </c>
      <c r="E5" s="49" t="s">
        <v>198</v>
      </c>
    </row>
    <row r="6" spans="1:6" ht="134" customHeight="1" x14ac:dyDescent="0.2">
      <c r="A6" s="8">
        <v>5</v>
      </c>
      <c r="B6" s="91" t="s">
        <v>165</v>
      </c>
      <c r="C6" s="6" t="s">
        <v>65</v>
      </c>
      <c r="D6" s="11" t="s">
        <v>161</v>
      </c>
      <c r="E6" s="92">
        <v>122</v>
      </c>
    </row>
    <row r="7" spans="1:6" ht="153" x14ac:dyDescent="0.2">
      <c r="A7" s="8">
        <v>6</v>
      </c>
      <c r="B7" s="39" t="s">
        <v>162</v>
      </c>
      <c r="C7" s="6" t="s">
        <v>65</v>
      </c>
      <c r="D7" s="6" t="s">
        <v>199</v>
      </c>
      <c r="E7" s="6">
        <v>0</v>
      </c>
    </row>
    <row r="8" spans="1:6" ht="204" x14ac:dyDescent="0.2">
      <c r="A8" s="16">
        <v>7</v>
      </c>
      <c r="B8" s="93" t="s">
        <v>201</v>
      </c>
      <c r="C8" s="6" t="s">
        <v>77</v>
      </c>
      <c r="D8" s="78" t="s">
        <v>200</v>
      </c>
      <c r="E8" s="75">
        <v>533</v>
      </c>
    </row>
    <row r="9" spans="1:6" ht="176" customHeight="1" x14ac:dyDescent="0.2">
      <c r="A9" s="16">
        <v>8</v>
      </c>
      <c r="B9" s="39" t="s">
        <v>202</v>
      </c>
      <c r="C9" s="6" t="s">
        <v>77</v>
      </c>
      <c r="D9" s="11" t="s">
        <v>203</v>
      </c>
      <c r="E9" s="6">
        <v>33</v>
      </c>
    </row>
    <row r="10" spans="1:6" ht="198" customHeight="1" x14ac:dyDescent="0.2">
      <c r="A10" s="16">
        <v>9</v>
      </c>
      <c r="B10" s="39" t="s">
        <v>174</v>
      </c>
      <c r="C10" s="6" t="s">
        <v>77</v>
      </c>
      <c r="D10" s="11" t="s">
        <v>204</v>
      </c>
      <c r="E10" s="6">
        <v>20</v>
      </c>
    </row>
    <row r="11" spans="1:6" ht="144" customHeight="1" x14ac:dyDescent="0.2">
      <c r="B11" s="39" t="s">
        <v>175</v>
      </c>
    </row>
    <row r="12" spans="1:6" ht="169" customHeight="1" x14ac:dyDescent="0.2">
      <c r="A12" s="161"/>
      <c r="B12" s="162" t="s">
        <v>328</v>
      </c>
      <c r="C12" s="121"/>
      <c r="D12" s="121" t="s">
        <v>329</v>
      </c>
      <c r="E12" s="12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4B14-42C2-8247-979A-891DC83C3239}">
  <dimension ref="A1:F4"/>
  <sheetViews>
    <sheetView workbookViewId="0">
      <selection activeCell="C4" sqref="C4"/>
    </sheetView>
  </sheetViews>
  <sheetFormatPr baseColWidth="10" defaultRowHeight="16" x14ac:dyDescent="0.2"/>
  <cols>
    <col min="1" max="1" width="10.83203125" style="56"/>
    <col min="2" max="2" width="92" customWidth="1"/>
    <col min="4" max="4" width="12.83203125" bestFit="1" customWidth="1"/>
    <col min="6" max="6" width="15.33203125" style="66" bestFit="1" customWidth="1"/>
  </cols>
  <sheetData>
    <row r="1" spans="1:6" x14ac:dyDescent="0.2">
      <c r="A1" s="40" t="s">
        <v>20</v>
      </c>
      <c r="B1" s="44" t="s">
        <v>78</v>
      </c>
      <c r="C1" s="40" t="s">
        <v>79</v>
      </c>
      <c r="D1" s="40" t="s">
        <v>80</v>
      </c>
      <c r="E1" s="40" t="s">
        <v>117</v>
      </c>
      <c r="F1" s="64"/>
    </row>
    <row r="2" spans="1:6" ht="167" customHeight="1" x14ac:dyDescent="0.2">
      <c r="A2" s="6">
        <v>1</v>
      </c>
      <c r="B2" s="38" t="s">
        <v>145</v>
      </c>
      <c r="D2" s="6" t="s">
        <v>142</v>
      </c>
      <c r="E2" s="64">
        <v>255</v>
      </c>
      <c r="F2" s="74" t="s">
        <v>155</v>
      </c>
    </row>
    <row r="3" spans="1:6" ht="150" customHeight="1" x14ac:dyDescent="0.2">
      <c r="A3" s="6">
        <v>2</v>
      </c>
      <c r="B3" s="38" t="s">
        <v>156</v>
      </c>
      <c r="D3" s="6" t="s">
        <v>143</v>
      </c>
      <c r="E3" s="57">
        <v>0</v>
      </c>
      <c r="F3" s="65"/>
    </row>
    <row r="4" spans="1:6" ht="209" customHeight="1" x14ac:dyDescent="0.2">
      <c r="A4" s="56">
        <v>3</v>
      </c>
      <c r="B4" s="38" t="s">
        <v>144</v>
      </c>
      <c r="D4" s="6" t="s">
        <v>81</v>
      </c>
      <c r="E4" s="5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0556-9FEA-AC48-B719-BBB7474E34BF}">
  <dimension ref="A1:H19"/>
  <sheetViews>
    <sheetView workbookViewId="0">
      <selection activeCell="E4" sqref="E4"/>
    </sheetView>
  </sheetViews>
  <sheetFormatPr baseColWidth="10" defaultRowHeight="16" x14ac:dyDescent="0.2"/>
  <cols>
    <col min="1" max="1" width="6.5" style="16" bestFit="1" customWidth="1"/>
    <col min="2" max="2" width="34.83203125" style="45" customWidth="1"/>
    <col min="3" max="3" width="32" style="6" customWidth="1"/>
    <col min="4" max="4" width="27.83203125" style="6" customWidth="1"/>
    <col min="5" max="5" width="27.1640625" style="6" customWidth="1"/>
    <col min="6" max="6" width="38" style="45" customWidth="1"/>
    <col min="7" max="7" width="24.5" style="45" customWidth="1"/>
    <col min="8" max="8" width="36.6640625" style="45" customWidth="1"/>
    <col min="9" max="9" width="35.1640625" style="45" customWidth="1"/>
    <col min="10" max="10" width="22.1640625" style="45" customWidth="1"/>
    <col min="11" max="16384" width="10.83203125" style="45"/>
  </cols>
  <sheetData>
    <row r="1" spans="1:8" s="44" customFormat="1" x14ac:dyDescent="0.2">
      <c r="A1" s="114" t="s">
        <v>20</v>
      </c>
      <c r="B1" s="115" t="s">
        <v>42</v>
      </c>
      <c r="C1" s="115" t="s">
        <v>44</v>
      </c>
      <c r="D1" s="114" t="s">
        <v>80</v>
      </c>
      <c r="E1" s="114" t="s">
        <v>117</v>
      </c>
      <c r="H1" s="89"/>
    </row>
    <row r="2" spans="1:8" ht="172" customHeight="1" x14ac:dyDescent="0.2">
      <c r="A2" s="8">
        <v>1</v>
      </c>
      <c r="B2" s="39" t="s">
        <v>173</v>
      </c>
      <c r="C2" s="5" t="s">
        <v>231</v>
      </c>
      <c r="D2" s="6" t="s">
        <v>143</v>
      </c>
      <c r="E2" s="126" t="s">
        <v>257</v>
      </c>
      <c r="G2" s="132"/>
    </row>
    <row r="3" spans="1:8" ht="207" customHeight="1" x14ac:dyDescent="0.2">
      <c r="A3" s="8">
        <v>2</v>
      </c>
      <c r="B3" s="39" t="s">
        <v>233</v>
      </c>
      <c r="C3" s="5" t="s">
        <v>234</v>
      </c>
      <c r="D3" s="6" t="s">
        <v>232</v>
      </c>
    </row>
    <row r="4" spans="1:8" ht="124" customHeight="1" x14ac:dyDescent="0.2">
      <c r="A4" s="16">
        <v>3</v>
      </c>
      <c r="B4" s="39" t="s">
        <v>260</v>
      </c>
      <c r="C4" s="5" t="s">
        <v>261</v>
      </c>
      <c r="D4" s="6" t="s">
        <v>142</v>
      </c>
    </row>
    <row r="7" spans="1:8" customFormat="1" ht="19" x14ac:dyDescent="0.2">
      <c r="A7" s="16"/>
      <c r="B7" s="127" t="s">
        <v>225</v>
      </c>
      <c r="C7" s="127" t="s">
        <v>226</v>
      </c>
      <c r="D7" s="127" t="s">
        <v>227</v>
      </c>
      <c r="E7" s="127" t="s">
        <v>228</v>
      </c>
      <c r="F7" s="128" t="s">
        <v>229</v>
      </c>
      <c r="G7" s="128" t="s">
        <v>46</v>
      </c>
    </row>
    <row r="8" spans="1:8" customFormat="1" ht="20" customHeight="1" x14ac:dyDescent="0.2">
      <c r="A8" s="16"/>
      <c r="B8" s="129">
        <v>519353</v>
      </c>
      <c r="C8" s="129" t="s">
        <v>77</v>
      </c>
      <c r="D8" s="133">
        <v>44440</v>
      </c>
      <c r="E8" s="130" t="s">
        <v>72</v>
      </c>
      <c r="F8" s="131">
        <v>-5</v>
      </c>
      <c r="G8" s="131" t="s">
        <v>230</v>
      </c>
    </row>
    <row r="9" spans="1:8" customFormat="1" ht="19" x14ac:dyDescent="0.2">
      <c r="A9" s="16"/>
      <c r="B9" s="129">
        <v>519353</v>
      </c>
      <c r="C9" s="129" t="s">
        <v>65</v>
      </c>
      <c r="D9" s="133">
        <v>44256</v>
      </c>
      <c r="E9" s="130" t="s">
        <v>72</v>
      </c>
      <c r="F9" s="131">
        <v>-5</v>
      </c>
      <c r="G9" s="131" t="s">
        <v>230</v>
      </c>
    </row>
    <row r="10" spans="1:8" customFormat="1" ht="19" x14ac:dyDescent="0.2">
      <c r="A10" s="16"/>
      <c r="B10" s="129"/>
      <c r="C10" s="129"/>
      <c r="D10" s="133"/>
      <c r="E10" s="130"/>
      <c r="F10" s="131"/>
      <c r="G10" s="131"/>
    </row>
    <row r="11" spans="1:8" customFormat="1" x14ac:dyDescent="0.2"/>
    <row r="12" spans="1:8" customFormat="1" x14ac:dyDescent="0.2"/>
    <row r="13" spans="1:8" customFormat="1" x14ac:dyDescent="0.2"/>
    <row r="14" spans="1:8" customFormat="1" x14ac:dyDescent="0.2"/>
    <row r="15" spans="1:8" customFormat="1" x14ac:dyDescent="0.2"/>
    <row r="16" spans="1:8" customFormat="1" x14ac:dyDescent="0.2">
      <c r="A16" s="16"/>
      <c r="B16" s="125" t="s">
        <v>251</v>
      </c>
      <c r="C16" s="125" t="s">
        <v>253</v>
      </c>
      <c r="D16" s="125" t="s">
        <v>255</v>
      </c>
    </row>
    <row r="17" spans="1:4" customFormat="1" ht="150" customHeight="1" x14ac:dyDescent="0.2">
      <c r="A17" s="16"/>
      <c r="B17" s="35" t="s">
        <v>252</v>
      </c>
      <c r="C17" s="35" t="s">
        <v>254</v>
      </c>
      <c r="D17" s="5" t="s">
        <v>256</v>
      </c>
    </row>
    <row r="18" spans="1:4" customFormat="1" x14ac:dyDescent="0.2"/>
    <row r="19" spans="1:4" x14ac:dyDescent="0.2">
      <c r="C19" s="16"/>
      <c r="D19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3EA6-316A-4C4D-A90F-3935C7A3B6B9}">
  <dimension ref="A1:F16"/>
  <sheetViews>
    <sheetView zoomScale="120" zoomScaleNormal="120" workbookViewId="0">
      <selection activeCell="B8" sqref="B8"/>
    </sheetView>
  </sheetViews>
  <sheetFormatPr baseColWidth="10" defaultRowHeight="16" x14ac:dyDescent="0.2"/>
  <cols>
    <col min="1" max="1" width="6.5" bestFit="1" customWidth="1"/>
    <col min="2" max="2" width="70.6640625" customWidth="1"/>
    <col min="3" max="3" width="40.33203125" customWidth="1"/>
  </cols>
  <sheetData>
    <row r="1" spans="1:6" s="82" customFormat="1" x14ac:dyDescent="0.2">
      <c r="A1" s="82" t="s">
        <v>20</v>
      </c>
      <c r="B1" s="82" t="s">
        <v>184</v>
      </c>
      <c r="C1" s="82" t="s">
        <v>185</v>
      </c>
      <c r="D1" s="163">
        <v>18</v>
      </c>
      <c r="E1" s="163">
        <v>7</v>
      </c>
      <c r="F1" s="163">
        <f>D1*24+E1*6</f>
        <v>474</v>
      </c>
    </row>
    <row r="2" spans="1:6" ht="83" customHeight="1" x14ac:dyDescent="0.2">
      <c r="A2" s="6">
        <v>1</v>
      </c>
      <c r="B2" s="28" t="s">
        <v>187</v>
      </c>
      <c r="C2" s="27" t="s">
        <v>186</v>
      </c>
    </row>
    <row r="3" spans="1:6" ht="221" x14ac:dyDescent="0.2">
      <c r="A3" s="6">
        <v>2</v>
      </c>
      <c r="B3" s="35" t="s">
        <v>333</v>
      </c>
      <c r="C3" s="27" t="s">
        <v>188</v>
      </c>
    </row>
    <row r="4" spans="1:6" ht="68" x14ac:dyDescent="0.2">
      <c r="A4" s="6">
        <v>3</v>
      </c>
      <c r="B4" s="90" t="s">
        <v>190</v>
      </c>
      <c r="C4" s="27" t="s">
        <v>189</v>
      </c>
    </row>
    <row r="5" spans="1:6" ht="34" x14ac:dyDescent="0.2">
      <c r="A5" s="6">
        <v>4</v>
      </c>
      <c r="B5" s="138" t="s">
        <v>274</v>
      </c>
      <c r="C5" s="27" t="s">
        <v>275</v>
      </c>
    </row>
    <row r="6" spans="1:6" ht="83" customHeight="1" x14ac:dyDescent="0.2">
      <c r="A6" s="121">
        <v>5</v>
      </c>
      <c r="B6" s="123" t="s">
        <v>258</v>
      </c>
      <c r="C6" s="122" t="s">
        <v>244</v>
      </c>
    </row>
    <row r="7" spans="1:6" ht="83" customHeight="1" x14ac:dyDescent="0.2">
      <c r="A7" s="75">
        <v>6</v>
      </c>
      <c r="B7" s="76" t="s">
        <v>336</v>
      </c>
      <c r="C7" s="124" t="s">
        <v>245</v>
      </c>
    </row>
    <row r="8" spans="1:6" ht="83" customHeight="1" x14ac:dyDescent="0.2">
      <c r="A8" s="6">
        <v>7</v>
      </c>
      <c r="B8" s="28" t="s">
        <v>323</v>
      </c>
      <c r="C8" s="27" t="s">
        <v>324</v>
      </c>
    </row>
    <row r="9" spans="1:6" ht="141" customHeight="1" x14ac:dyDescent="0.2">
      <c r="A9" s="6">
        <v>8</v>
      </c>
      <c r="B9" s="28" t="s">
        <v>337</v>
      </c>
      <c r="C9" s="27" t="s">
        <v>325</v>
      </c>
    </row>
    <row r="10" spans="1:6" ht="83" customHeight="1" x14ac:dyDescent="0.2">
      <c r="A10" s="6"/>
      <c r="B10" s="28"/>
      <c r="C10" s="27"/>
    </row>
    <row r="11" spans="1:6" ht="83" customHeight="1" x14ac:dyDescent="0.2">
      <c r="A11" s="6"/>
      <c r="B11" s="28"/>
      <c r="C11" s="27"/>
    </row>
    <row r="12" spans="1:6" ht="83" customHeight="1" x14ac:dyDescent="0.2">
      <c r="A12" s="6"/>
      <c r="B12" s="28"/>
      <c r="C12" s="27"/>
    </row>
    <row r="13" spans="1:6" ht="83" customHeight="1" x14ac:dyDescent="0.2">
      <c r="A13" s="6"/>
      <c r="B13" s="28"/>
      <c r="C13" s="27"/>
    </row>
    <row r="14" spans="1:6" ht="83" customHeight="1" x14ac:dyDescent="0.2">
      <c r="A14" s="6"/>
      <c r="B14" s="28"/>
      <c r="C14" s="27"/>
    </row>
    <row r="15" spans="1:6" ht="83" customHeight="1" x14ac:dyDescent="0.2">
      <c r="A15" s="6"/>
      <c r="B15" s="28"/>
      <c r="C15" s="27"/>
    </row>
    <row r="16" spans="1:6" ht="83" customHeight="1" x14ac:dyDescent="0.2">
      <c r="A16" s="6"/>
      <c r="B16" s="28"/>
      <c r="C16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495B-538F-C649-93E0-AAD9EE02E345}">
  <dimension ref="A1:P20"/>
  <sheetViews>
    <sheetView workbookViewId="0">
      <selection activeCell="C7" sqref="C7"/>
    </sheetView>
  </sheetViews>
  <sheetFormatPr baseColWidth="10" defaultRowHeight="133" customHeight="1" x14ac:dyDescent="0.2"/>
  <cols>
    <col min="1" max="1" width="9.6640625" style="8" customWidth="1"/>
    <col min="2" max="2" width="100" style="3" customWidth="1"/>
    <col min="3" max="3" width="56" style="8" customWidth="1"/>
    <col min="4" max="4" width="38.6640625" style="3" customWidth="1"/>
    <col min="5" max="5" width="12.1640625" style="3" bestFit="1" customWidth="1"/>
    <col min="6" max="16384" width="10.83203125" style="3"/>
  </cols>
  <sheetData>
    <row r="1" spans="1:16" s="17" customFormat="1" ht="16" x14ac:dyDescent="0.2">
      <c r="A1" s="21" t="s">
        <v>0</v>
      </c>
      <c r="B1" s="22" t="s">
        <v>1</v>
      </c>
      <c r="C1" s="23" t="s">
        <v>2</v>
      </c>
      <c r="D1" s="23" t="s">
        <v>117</v>
      </c>
    </row>
    <row r="2" spans="1:16" ht="133" customHeight="1" x14ac:dyDescent="0.2">
      <c r="A2" s="4">
        <v>1</v>
      </c>
      <c r="B2" s="139" t="s">
        <v>331</v>
      </c>
      <c r="C2" s="94" t="s">
        <v>212</v>
      </c>
      <c r="D2" s="95" t="s">
        <v>218</v>
      </c>
      <c r="F2" s="3">
        <f>208808000000/10000000</f>
        <v>20880.8</v>
      </c>
    </row>
    <row r="3" spans="1:16" ht="133" customHeight="1" x14ac:dyDescent="0.2">
      <c r="A3" s="4">
        <v>2</v>
      </c>
      <c r="B3" s="60" t="s">
        <v>33</v>
      </c>
      <c r="C3" s="107" t="s">
        <v>34</v>
      </c>
      <c r="D3" s="95" t="s">
        <v>209</v>
      </c>
    </row>
    <row r="4" spans="1:16" ht="19" x14ac:dyDescent="0.2">
      <c r="A4" s="4">
        <v>3</v>
      </c>
      <c r="B4" s="135" t="s">
        <v>210</v>
      </c>
      <c r="C4" s="107" t="s">
        <v>211</v>
      </c>
      <c r="D4" s="95">
        <v>0</v>
      </c>
    </row>
    <row r="5" spans="1:16" ht="102" customHeight="1" x14ac:dyDescent="0.2">
      <c r="A5" s="4">
        <v>4</v>
      </c>
      <c r="B5" s="60" t="s">
        <v>265</v>
      </c>
      <c r="C5" s="107" t="s">
        <v>266</v>
      </c>
      <c r="D5" s="95"/>
    </row>
    <row r="6" spans="1:16" ht="41" customHeight="1" x14ac:dyDescent="0.2">
      <c r="A6" s="4">
        <v>5</v>
      </c>
      <c r="B6" s="33" t="s">
        <v>306</v>
      </c>
      <c r="C6" s="8" t="s">
        <v>307</v>
      </c>
      <c r="D6" s="97"/>
    </row>
    <row r="7" spans="1:16" s="6" customFormat="1" ht="133" customHeight="1" x14ac:dyDescent="0.2">
      <c r="A7" s="4">
        <v>6</v>
      </c>
      <c r="B7" s="5" t="s">
        <v>206</v>
      </c>
      <c r="C7" s="6" t="s">
        <v>5</v>
      </c>
      <c r="D7" s="97">
        <v>5</v>
      </c>
      <c r="E7" s="7"/>
      <c r="F7" s="7"/>
      <c r="G7" s="14"/>
      <c r="H7" s="7"/>
      <c r="I7" s="7"/>
      <c r="J7" s="7"/>
      <c r="K7" s="7"/>
      <c r="L7" s="7"/>
      <c r="M7" s="7"/>
      <c r="N7" s="7"/>
      <c r="O7" s="7"/>
      <c r="P7" s="7"/>
    </row>
    <row r="8" spans="1:16" ht="133" customHeight="1" x14ac:dyDescent="0.2">
      <c r="A8" s="4">
        <v>7</v>
      </c>
      <c r="B8" s="96" t="s">
        <v>213</v>
      </c>
      <c r="C8" s="20" t="s">
        <v>22</v>
      </c>
      <c r="D8" s="97">
        <v>5</v>
      </c>
    </row>
    <row r="9" spans="1:16" ht="133" customHeight="1" x14ac:dyDescent="0.2">
      <c r="A9" s="4">
        <v>8</v>
      </c>
      <c r="B9" s="96" t="s">
        <v>208</v>
      </c>
      <c r="C9" s="20" t="s">
        <v>207</v>
      </c>
      <c r="D9" s="97" t="s">
        <v>216</v>
      </c>
    </row>
    <row r="10" spans="1:16" ht="133" customHeight="1" x14ac:dyDescent="0.2">
      <c r="A10" s="4">
        <v>9</v>
      </c>
      <c r="B10" s="96" t="s">
        <v>23</v>
      </c>
      <c r="C10" s="20" t="s">
        <v>24</v>
      </c>
      <c r="D10" s="97">
        <v>1</v>
      </c>
    </row>
    <row r="11" spans="1:16" ht="133" customHeight="1" x14ac:dyDescent="0.2">
      <c r="A11" s="4">
        <v>10</v>
      </c>
      <c r="B11" s="96" t="s">
        <v>37</v>
      </c>
      <c r="C11" s="8" t="s">
        <v>38</v>
      </c>
      <c r="D11" s="97">
        <v>0</v>
      </c>
    </row>
    <row r="12" spans="1:16" ht="133" customHeight="1" x14ac:dyDescent="0.2">
      <c r="A12" s="4">
        <v>11</v>
      </c>
      <c r="B12" s="96" t="s">
        <v>39</v>
      </c>
      <c r="C12" s="8" t="s">
        <v>214</v>
      </c>
      <c r="D12" s="106" t="s">
        <v>217</v>
      </c>
    </row>
    <row r="13" spans="1:16" ht="133" customHeight="1" x14ac:dyDescent="0.2">
      <c r="A13" s="4">
        <v>12</v>
      </c>
      <c r="B13" s="96" t="s">
        <v>40</v>
      </c>
      <c r="C13" s="8" t="s">
        <v>41</v>
      </c>
      <c r="D13" s="97">
        <v>0</v>
      </c>
    </row>
    <row r="14" spans="1:16" ht="133" customHeight="1" x14ac:dyDescent="0.2">
      <c r="A14" s="4">
        <v>13</v>
      </c>
      <c r="B14" s="96" t="s">
        <v>215</v>
      </c>
      <c r="C14" s="20" t="s">
        <v>124</v>
      </c>
      <c r="D14" s="97">
        <v>1</v>
      </c>
    </row>
    <row r="15" spans="1:16" s="17" customFormat="1" ht="133" customHeight="1" x14ac:dyDescent="0.2">
      <c r="A15" s="4">
        <v>14</v>
      </c>
      <c r="B15" s="98" t="s">
        <v>160</v>
      </c>
      <c r="C15" s="99" t="s">
        <v>121</v>
      </c>
      <c r="D15" s="100">
        <v>2506</v>
      </c>
    </row>
    <row r="16" spans="1:16" ht="133" customHeight="1" x14ac:dyDescent="0.2">
      <c r="A16" s="4">
        <v>15</v>
      </c>
      <c r="B16" s="101" t="s">
        <v>6</v>
      </c>
      <c r="C16" s="102" t="s">
        <v>7</v>
      </c>
      <c r="D16" s="103"/>
    </row>
    <row r="17" spans="1:4" ht="133" customHeight="1" x14ac:dyDescent="0.2">
      <c r="A17" s="4">
        <v>16</v>
      </c>
      <c r="B17" s="101" t="s">
        <v>36</v>
      </c>
      <c r="C17" s="102" t="s">
        <v>122</v>
      </c>
      <c r="D17" s="103"/>
    </row>
    <row r="18" spans="1:4" ht="133" customHeight="1" x14ac:dyDescent="0.2">
      <c r="A18" s="4">
        <v>17</v>
      </c>
      <c r="B18" s="101" t="s">
        <v>135</v>
      </c>
      <c r="C18" s="102" t="s">
        <v>122</v>
      </c>
      <c r="D18" s="103" t="s">
        <v>123</v>
      </c>
    </row>
    <row r="19" spans="1:4" ht="133" customHeight="1" x14ac:dyDescent="0.2">
      <c r="A19" s="4">
        <v>18</v>
      </c>
      <c r="B19" s="101" t="s">
        <v>28</v>
      </c>
      <c r="C19" s="104" t="s">
        <v>27</v>
      </c>
      <c r="D19" s="103">
        <v>17</v>
      </c>
    </row>
    <row r="20" spans="1:4" ht="133" customHeight="1" x14ac:dyDescent="0.2">
      <c r="A20" s="4">
        <v>19</v>
      </c>
      <c r="B20" s="101" t="s">
        <v>35</v>
      </c>
      <c r="C20" s="105" t="s">
        <v>29</v>
      </c>
      <c r="D20" s="10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1A38-F707-644F-AF8E-026BCA71C00C}">
  <dimension ref="A1:I8"/>
  <sheetViews>
    <sheetView zoomScaleNormal="100" workbookViewId="0">
      <selection activeCell="B5" sqref="B5"/>
    </sheetView>
  </sheetViews>
  <sheetFormatPr baseColWidth="10" defaultRowHeight="233" customHeight="1" x14ac:dyDescent="0.2"/>
  <cols>
    <col min="2" max="2" width="77.33203125" customWidth="1"/>
    <col min="3" max="3" width="48" style="11" customWidth="1"/>
    <col min="4" max="4" width="56.33203125" customWidth="1"/>
    <col min="5" max="5" width="31.83203125" customWidth="1"/>
    <col min="6" max="6" width="24" customWidth="1"/>
  </cols>
  <sheetData>
    <row r="1" spans="1:9" s="82" customFormat="1" ht="17" x14ac:dyDescent="0.2">
      <c r="A1" s="82" t="s">
        <v>20</v>
      </c>
      <c r="B1" s="82" t="s">
        <v>78</v>
      </c>
      <c r="C1" s="111" t="s">
        <v>66</v>
      </c>
      <c r="D1" s="82" t="s">
        <v>179</v>
      </c>
      <c r="E1" s="82" t="s">
        <v>221</v>
      </c>
    </row>
    <row r="2" spans="1:9" s="82" customFormat="1" ht="238" customHeight="1" x14ac:dyDescent="0.2">
      <c r="A2" s="6">
        <v>1</v>
      </c>
      <c r="B2" s="60" t="s">
        <v>241</v>
      </c>
      <c r="C2" s="120" t="s">
        <v>242</v>
      </c>
      <c r="D2" s="119"/>
      <c r="H2" s="82">
        <v>9</v>
      </c>
      <c r="I2" s="82">
        <f>H2*6</f>
        <v>54</v>
      </c>
    </row>
    <row r="3" spans="1:9" ht="233" customHeight="1" x14ac:dyDescent="0.2">
      <c r="A3" s="6">
        <v>2</v>
      </c>
      <c r="B3" s="38" t="s">
        <v>219</v>
      </c>
      <c r="C3" s="110" t="s">
        <v>163</v>
      </c>
      <c r="D3" s="91" t="s">
        <v>220</v>
      </c>
      <c r="E3" s="28" t="s">
        <v>222</v>
      </c>
      <c r="H3">
        <v>18</v>
      </c>
      <c r="I3">
        <f>H3*24</f>
        <v>432</v>
      </c>
    </row>
    <row r="4" spans="1:9" ht="233" customHeight="1" x14ac:dyDescent="0.2">
      <c r="A4" s="121"/>
      <c r="B4" s="116" t="s">
        <v>334</v>
      </c>
      <c r="C4" s="164" t="s">
        <v>332</v>
      </c>
      <c r="D4" s="165"/>
      <c r="E4" s="28"/>
    </row>
    <row r="5" spans="1:9" ht="233" customHeight="1" x14ac:dyDescent="0.2">
      <c r="A5" s="6">
        <v>3</v>
      </c>
      <c r="B5" s="38" t="s">
        <v>178</v>
      </c>
      <c r="C5" s="110" t="s">
        <v>164</v>
      </c>
    </row>
    <row r="6" spans="1:9" ht="233" customHeight="1" x14ac:dyDescent="0.2">
      <c r="A6" s="6">
        <v>4</v>
      </c>
      <c r="B6" s="38" t="s">
        <v>224</v>
      </c>
      <c r="C6" s="51" t="s">
        <v>182</v>
      </c>
      <c r="D6" s="97">
        <v>4</v>
      </c>
      <c r="E6" s="108"/>
      <c r="F6" s="108"/>
      <c r="G6" s="108"/>
    </row>
    <row r="7" spans="1:9" ht="233" customHeight="1" x14ac:dyDescent="0.2">
      <c r="A7" s="6">
        <v>5</v>
      </c>
      <c r="B7" s="38" t="s">
        <v>223</v>
      </c>
      <c r="C7" s="51" t="s">
        <v>183</v>
      </c>
      <c r="D7" s="97">
        <v>7</v>
      </c>
      <c r="E7" s="108"/>
      <c r="F7" s="108"/>
      <c r="G7" s="108"/>
    </row>
    <row r="8" spans="1:9" ht="233" customHeight="1" x14ac:dyDescent="0.2">
      <c r="A8" s="6">
        <v>6</v>
      </c>
      <c r="B8" s="109" t="s">
        <v>180</v>
      </c>
      <c r="C8" s="112" t="s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EFDF-B760-B943-9719-E2C68C582C70}">
  <dimension ref="A1:G67"/>
  <sheetViews>
    <sheetView tabSelected="1" workbookViewId="0">
      <selection activeCell="C3" sqref="C3"/>
    </sheetView>
  </sheetViews>
  <sheetFormatPr baseColWidth="10" defaultRowHeight="16" x14ac:dyDescent="0.2"/>
  <cols>
    <col min="1" max="1" width="3.1640625" style="31" bestFit="1" customWidth="1"/>
    <col min="2" max="2" width="9.1640625" style="27" bestFit="1" customWidth="1"/>
    <col min="3" max="3" width="63.5" style="27" customWidth="1"/>
    <col min="4" max="4" width="68.5" style="27" customWidth="1"/>
    <col min="5" max="5" width="42.33203125" style="6" bestFit="1" customWidth="1"/>
    <col min="6" max="6" width="45.5" style="6" bestFit="1" customWidth="1"/>
    <col min="7" max="7" width="34.5" style="27" customWidth="1"/>
    <col min="8" max="16384" width="10.83203125" style="27"/>
  </cols>
  <sheetData>
    <row r="1" spans="1:7" s="26" customFormat="1" ht="17" x14ac:dyDescent="0.2">
      <c r="A1" s="1" t="s">
        <v>0</v>
      </c>
      <c r="B1" s="21" t="s">
        <v>46</v>
      </c>
      <c r="C1" s="43" t="s">
        <v>42</v>
      </c>
      <c r="D1" s="25" t="s">
        <v>44</v>
      </c>
      <c r="E1" s="23" t="s">
        <v>2</v>
      </c>
      <c r="F1" s="23" t="s">
        <v>90</v>
      </c>
    </row>
    <row r="2" spans="1:7" s="26" customFormat="1" ht="129" customHeight="1" x14ac:dyDescent="0.2">
      <c r="A2" s="4">
        <v>1</v>
      </c>
      <c r="B2" s="4" t="s">
        <v>48</v>
      </c>
      <c r="C2" s="18" t="s">
        <v>308</v>
      </c>
      <c r="D2" s="18" t="s">
        <v>141</v>
      </c>
      <c r="E2" s="19" t="s">
        <v>108</v>
      </c>
      <c r="F2" s="51" t="s">
        <v>309</v>
      </c>
      <c r="G2" s="87" t="s">
        <v>250</v>
      </c>
    </row>
    <row r="3" spans="1:7" s="26" customFormat="1" ht="113" customHeight="1" x14ac:dyDescent="0.2">
      <c r="A3" s="34">
        <v>2</v>
      </c>
      <c r="B3" s="34" t="s">
        <v>48</v>
      </c>
      <c r="C3" s="42"/>
      <c r="D3" s="55" t="s">
        <v>113</v>
      </c>
      <c r="E3" s="24" t="s">
        <v>106</v>
      </c>
      <c r="F3" s="51">
        <v>0</v>
      </c>
      <c r="G3" s="87" t="s">
        <v>170</v>
      </c>
    </row>
    <row r="4" spans="1:7" s="26" customFormat="1" ht="113" customHeight="1" x14ac:dyDescent="0.2">
      <c r="A4" s="146">
        <v>3</v>
      </c>
      <c r="B4" s="147" t="s">
        <v>47</v>
      </c>
      <c r="C4" s="148" t="s">
        <v>67</v>
      </c>
      <c r="D4" s="148" t="s">
        <v>49</v>
      </c>
      <c r="E4" s="149" t="s">
        <v>107</v>
      </c>
      <c r="F4" s="52" t="s">
        <v>91</v>
      </c>
    </row>
    <row r="5" spans="1:7" s="26" customFormat="1" ht="113" customHeight="1" x14ac:dyDescent="0.2">
      <c r="A5" s="146">
        <v>4</v>
      </c>
      <c r="B5" s="147" t="s">
        <v>47</v>
      </c>
      <c r="C5" s="150"/>
      <c r="D5" s="148" t="s">
        <v>50</v>
      </c>
      <c r="E5" s="151" t="s">
        <v>106</v>
      </c>
      <c r="F5" s="52" t="s">
        <v>91</v>
      </c>
    </row>
    <row r="6" spans="1:7" ht="152" customHeight="1" x14ac:dyDescent="0.2">
      <c r="A6" s="146">
        <v>5</v>
      </c>
      <c r="B6" s="147" t="s">
        <v>47</v>
      </c>
      <c r="C6" s="152" t="s">
        <v>53</v>
      </c>
      <c r="D6" s="152" t="s">
        <v>52</v>
      </c>
      <c r="E6" s="143" t="s">
        <v>109</v>
      </c>
      <c r="F6" s="52" t="s">
        <v>91</v>
      </c>
    </row>
    <row r="7" spans="1:7" ht="109" customHeight="1" x14ac:dyDescent="0.2">
      <c r="A7" s="146">
        <v>6</v>
      </c>
      <c r="B7" s="147" t="s">
        <v>47</v>
      </c>
      <c r="C7" s="152" t="s">
        <v>55</v>
      </c>
      <c r="D7" s="152" t="s">
        <v>54</v>
      </c>
      <c r="E7" s="143" t="s">
        <v>110</v>
      </c>
      <c r="F7" s="52" t="s">
        <v>91</v>
      </c>
    </row>
    <row r="8" spans="1:7" ht="105" customHeight="1" x14ac:dyDescent="0.2">
      <c r="A8" s="4">
        <v>7</v>
      </c>
      <c r="B8" s="27" t="s">
        <v>48</v>
      </c>
      <c r="C8" s="5" t="s">
        <v>304</v>
      </c>
      <c r="D8" s="5" t="s">
        <v>305</v>
      </c>
      <c r="E8" s="41" t="s">
        <v>111</v>
      </c>
      <c r="F8" s="48" t="s">
        <v>310</v>
      </c>
    </row>
    <row r="9" spans="1:7" ht="123" customHeight="1" x14ac:dyDescent="0.2">
      <c r="A9" s="4">
        <v>8</v>
      </c>
      <c r="B9" s="27" t="s">
        <v>48</v>
      </c>
      <c r="C9" s="28" t="s">
        <v>312</v>
      </c>
      <c r="D9" s="28" t="s">
        <v>311</v>
      </c>
      <c r="E9" s="41" t="s">
        <v>112</v>
      </c>
      <c r="F9" s="145" t="s">
        <v>313</v>
      </c>
    </row>
    <row r="10" spans="1:7" ht="154" customHeight="1" x14ac:dyDescent="0.2">
      <c r="A10" s="8">
        <v>9</v>
      </c>
      <c r="B10" s="27" t="s">
        <v>48</v>
      </c>
      <c r="C10" s="28" t="s">
        <v>314</v>
      </c>
      <c r="D10" s="28" t="s">
        <v>315</v>
      </c>
      <c r="E10" s="11" t="s">
        <v>316</v>
      </c>
      <c r="F10" s="97" t="s">
        <v>317</v>
      </c>
    </row>
    <row r="11" spans="1:7" s="26" customFormat="1" ht="113" customHeight="1" x14ac:dyDescent="0.2">
      <c r="A11" s="4">
        <v>10</v>
      </c>
      <c r="B11" s="4" t="s">
        <v>47</v>
      </c>
      <c r="C11" s="18" t="s">
        <v>30</v>
      </c>
      <c r="D11" s="18" t="s">
        <v>43</v>
      </c>
      <c r="E11" s="19" t="s">
        <v>45</v>
      </c>
      <c r="F11" s="52" t="s">
        <v>91</v>
      </c>
    </row>
    <row r="12" spans="1:7" s="26" customFormat="1" ht="119" x14ac:dyDescent="0.2">
      <c r="A12" s="8">
        <v>11</v>
      </c>
      <c r="B12" s="36" t="s">
        <v>48</v>
      </c>
      <c r="C12" s="30" t="s">
        <v>32</v>
      </c>
      <c r="D12" s="32" t="s">
        <v>51</v>
      </c>
      <c r="E12" s="19" t="s">
        <v>31</v>
      </c>
      <c r="F12" s="52" t="s">
        <v>91</v>
      </c>
    </row>
    <row r="13" spans="1:7" ht="19" x14ac:dyDescent="0.2">
      <c r="F13" s="53"/>
    </row>
    <row r="14" spans="1:7" ht="19" x14ac:dyDescent="0.2">
      <c r="F14" s="53"/>
    </row>
    <row r="15" spans="1:7" ht="19" x14ac:dyDescent="0.2">
      <c r="F15" s="53"/>
    </row>
    <row r="16" spans="1:7" ht="19" x14ac:dyDescent="0.2">
      <c r="F16" s="53"/>
    </row>
    <row r="17" spans="6:6" ht="19" x14ac:dyDescent="0.2">
      <c r="F17" s="53"/>
    </row>
    <row r="18" spans="6:6" ht="19" x14ac:dyDescent="0.2">
      <c r="F18" s="53"/>
    </row>
    <row r="19" spans="6:6" ht="19" x14ac:dyDescent="0.2">
      <c r="F19" s="53"/>
    </row>
    <row r="20" spans="6:6" ht="19" x14ac:dyDescent="0.2">
      <c r="F20" s="53"/>
    </row>
    <row r="21" spans="6:6" ht="19" x14ac:dyDescent="0.2">
      <c r="F21" s="53"/>
    </row>
    <row r="22" spans="6:6" ht="19" x14ac:dyDescent="0.2">
      <c r="F22" s="53"/>
    </row>
    <row r="23" spans="6:6" ht="19" x14ac:dyDescent="0.2">
      <c r="F23" s="53"/>
    </row>
    <row r="24" spans="6:6" ht="19" x14ac:dyDescent="0.2">
      <c r="F24" s="53"/>
    </row>
    <row r="25" spans="6:6" ht="19" x14ac:dyDescent="0.2">
      <c r="F25" s="53"/>
    </row>
    <row r="26" spans="6:6" ht="19" x14ac:dyDescent="0.2">
      <c r="F26" s="53"/>
    </row>
    <row r="27" spans="6:6" ht="19" x14ac:dyDescent="0.2">
      <c r="F27" s="53"/>
    </row>
    <row r="28" spans="6:6" ht="19" x14ac:dyDescent="0.2">
      <c r="F28" s="53"/>
    </row>
    <row r="29" spans="6:6" ht="19" x14ac:dyDescent="0.2">
      <c r="F29" s="53"/>
    </row>
    <row r="30" spans="6:6" ht="19" x14ac:dyDescent="0.2">
      <c r="F30" s="53"/>
    </row>
    <row r="31" spans="6:6" ht="19" x14ac:dyDescent="0.2">
      <c r="F31" s="53"/>
    </row>
    <row r="32" spans="6:6" ht="19" x14ac:dyDescent="0.2">
      <c r="F32" s="53"/>
    </row>
    <row r="33" spans="6:6" ht="19" x14ac:dyDescent="0.2">
      <c r="F33" s="53"/>
    </row>
    <row r="34" spans="6:6" ht="19" x14ac:dyDescent="0.2">
      <c r="F34" s="53"/>
    </row>
    <row r="35" spans="6:6" ht="19" x14ac:dyDescent="0.2">
      <c r="F35" s="53"/>
    </row>
    <row r="36" spans="6:6" ht="19" x14ac:dyDescent="0.2">
      <c r="F36" s="53"/>
    </row>
    <row r="37" spans="6:6" ht="19" x14ac:dyDescent="0.2">
      <c r="F37" s="53"/>
    </row>
    <row r="38" spans="6:6" ht="19" x14ac:dyDescent="0.2">
      <c r="F38" s="53"/>
    </row>
    <row r="39" spans="6:6" ht="19" x14ac:dyDescent="0.2">
      <c r="F39" s="53"/>
    </row>
    <row r="40" spans="6:6" ht="19" x14ac:dyDescent="0.2">
      <c r="F40" s="53"/>
    </row>
    <row r="41" spans="6:6" ht="19" x14ac:dyDescent="0.2">
      <c r="F41" s="53"/>
    </row>
    <row r="42" spans="6:6" ht="19" x14ac:dyDescent="0.2">
      <c r="F42" s="53"/>
    </row>
    <row r="43" spans="6:6" ht="19" x14ac:dyDescent="0.2">
      <c r="F43" s="53"/>
    </row>
    <row r="44" spans="6:6" ht="19" x14ac:dyDescent="0.2">
      <c r="F44" s="53"/>
    </row>
    <row r="45" spans="6:6" ht="19" x14ac:dyDescent="0.2">
      <c r="F45" s="53"/>
    </row>
    <row r="46" spans="6:6" ht="19" x14ac:dyDescent="0.2">
      <c r="F46" s="53"/>
    </row>
    <row r="47" spans="6:6" ht="19" x14ac:dyDescent="0.2">
      <c r="F47" s="53"/>
    </row>
    <row r="48" spans="6:6" ht="19" x14ac:dyDescent="0.2">
      <c r="F48" s="53"/>
    </row>
    <row r="49" spans="6:6" ht="19" x14ac:dyDescent="0.2">
      <c r="F49" s="53"/>
    </row>
    <row r="50" spans="6:6" ht="19" x14ac:dyDescent="0.2">
      <c r="F50" s="53"/>
    </row>
    <row r="51" spans="6:6" ht="19" x14ac:dyDescent="0.2">
      <c r="F51" s="53"/>
    </row>
    <row r="52" spans="6:6" ht="19" x14ac:dyDescent="0.2">
      <c r="F52" s="53"/>
    </row>
    <row r="53" spans="6:6" ht="19" x14ac:dyDescent="0.2">
      <c r="F53" s="53"/>
    </row>
    <row r="54" spans="6:6" ht="19" x14ac:dyDescent="0.2">
      <c r="F54" s="53"/>
    </row>
    <row r="55" spans="6:6" ht="19" x14ac:dyDescent="0.2">
      <c r="F55" s="53"/>
    </row>
    <row r="56" spans="6:6" ht="19" x14ac:dyDescent="0.2">
      <c r="F56" s="53"/>
    </row>
    <row r="57" spans="6:6" ht="19" x14ac:dyDescent="0.2">
      <c r="F57" s="53"/>
    </row>
    <row r="58" spans="6:6" ht="19" x14ac:dyDescent="0.2">
      <c r="F58" s="53"/>
    </row>
    <row r="59" spans="6:6" ht="19" x14ac:dyDescent="0.2">
      <c r="F59" s="53"/>
    </row>
    <row r="60" spans="6:6" ht="19" x14ac:dyDescent="0.2">
      <c r="F60" s="53"/>
    </row>
    <row r="61" spans="6:6" ht="19" x14ac:dyDescent="0.2">
      <c r="F61" s="53"/>
    </row>
    <row r="62" spans="6:6" ht="19" x14ac:dyDescent="0.2">
      <c r="F62" s="53"/>
    </row>
    <row r="63" spans="6:6" ht="19" x14ac:dyDescent="0.2">
      <c r="F63" s="53"/>
    </row>
    <row r="64" spans="6:6" ht="19" x14ac:dyDescent="0.2">
      <c r="F64" s="53"/>
    </row>
    <row r="65" spans="6:6" ht="19" x14ac:dyDescent="0.2">
      <c r="F65" s="53"/>
    </row>
    <row r="66" spans="6:6" ht="19" x14ac:dyDescent="0.2">
      <c r="F66" s="53"/>
    </row>
    <row r="67" spans="6:6" ht="19" x14ac:dyDescent="0.2">
      <c r="F67" s="53"/>
    </row>
  </sheetData>
  <hyperlinks>
    <hyperlink ref="D3" r:id="rId1" xr:uid="{E5ED0DA1-1D39-D94D-98F6-1665BDB5AAA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05E6-437B-AD4F-A2A9-E2ABC4D51A51}">
  <sheetPr>
    <tabColor rgb="FFFFFF00"/>
  </sheetPr>
  <dimension ref="A1:K19"/>
  <sheetViews>
    <sheetView topLeftCell="A13" zoomScaleNormal="100" workbookViewId="0">
      <selection activeCell="D15" sqref="D15"/>
    </sheetView>
  </sheetViews>
  <sheetFormatPr baseColWidth="10" defaultRowHeight="16" x14ac:dyDescent="0.2"/>
  <cols>
    <col min="1" max="1" width="3.1640625" style="6" bestFit="1" customWidth="1"/>
    <col min="2" max="2" width="10.83203125" style="6"/>
    <col min="3" max="3" width="56.6640625" style="37" customWidth="1"/>
    <col min="4" max="4" width="60" style="37" customWidth="1"/>
    <col min="5" max="5" width="49.1640625" style="6" customWidth="1"/>
    <col min="6" max="6" width="47.1640625" style="37" customWidth="1"/>
    <col min="7" max="7" width="41.5" style="37" customWidth="1"/>
    <col min="8" max="8" width="25.6640625" style="37" customWidth="1"/>
    <col min="9" max="9" width="10.83203125" style="37"/>
    <col min="10" max="11" width="18.33203125" style="37" bestFit="1" customWidth="1"/>
    <col min="12" max="16384" width="10.83203125" style="37"/>
  </cols>
  <sheetData>
    <row r="1" spans="1:11" s="17" customFormat="1" x14ac:dyDescent="0.2">
      <c r="A1" s="21" t="s">
        <v>0</v>
      </c>
      <c r="B1" s="21" t="s">
        <v>46</v>
      </c>
      <c r="C1" s="22" t="s">
        <v>42</v>
      </c>
      <c r="D1" s="22" t="s">
        <v>44</v>
      </c>
      <c r="E1" s="23" t="s">
        <v>2</v>
      </c>
      <c r="F1" s="23" t="s">
        <v>90</v>
      </c>
      <c r="G1" s="17" t="s">
        <v>146</v>
      </c>
      <c r="H1" s="17" t="s">
        <v>248</v>
      </c>
    </row>
    <row r="2" spans="1:11" s="13" customFormat="1" ht="85" customHeight="1" x14ac:dyDescent="0.2">
      <c r="A2" s="6">
        <v>1</v>
      </c>
      <c r="B2" s="6" t="s">
        <v>57</v>
      </c>
      <c r="C2" s="5" t="s">
        <v>58</v>
      </c>
      <c r="D2" s="5" t="s">
        <v>56</v>
      </c>
      <c r="E2" s="11" t="s">
        <v>153</v>
      </c>
      <c r="F2" s="68">
        <v>0</v>
      </c>
    </row>
    <row r="3" spans="1:11" ht="97" customHeight="1" x14ac:dyDescent="0.2">
      <c r="A3" s="6">
        <v>2</v>
      </c>
      <c r="B3" s="6" t="s">
        <v>59</v>
      </c>
      <c r="C3" s="35" t="s">
        <v>276</v>
      </c>
      <c r="D3" s="123" t="s">
        <v>277</v>
      </c>
      <c r="E3" s="11" t="s">
        <v>92</v>
      </c>
      <c r="F3" s="49" t="s">
        <v>318</v>
      </c>
      <c r="G3" s="67" t="s">
        <v>168</v>
      </c>
      <c r="H3" s="140" t="s">
        <v>249</v>
      </c>
      <c r="I3" s="37">
        <v>2728.63</v>
      </c>
      <c r="J3" s="37">
        <f>I3*10000000</f>
        <v>27286300000</v>
      </c>
    </row>
    <row r="4" spans="1:11" ht="130" customHeight="1" x14ac:dyDescent="0.2">
      <c r="A4" s="6">
        <v>3</v>
      </c>
      <c r="B4" s="8" t="s">
        <v>59</v>
      </c>
      <c r="C4" s="50" t="s">
        <v>278</v>
      </c>
      <c r="D4" s="50" t="s">
        <v>279</v>
      </c>
      <c r="E4" s="20" t="s">
        <v>93</v>
      </c>
      <c r="F4" s="49" t="s">
        <v>319</v>
      </c>
      <c r="G4" s="72" t="s">
        <v>91</v>
      </c>
      <c r="J4" s="153"/>
      <c r="K4" s="153"/>
    </row>
    <row r="5" spans="1:11" ht="136" customHeight="1" x14ac:dyDescent="0.2">
      <c r="A5" s="6">
        <v>4</v>
      </c>
      <c r="B5" s="6" t="s">
        <v>59</v>
      </c>
      <c r="C5" s="35" t="s">
        <v>280</v>
      </c>
      <c r="D5" s="35" t="s">
        <v>281</v>
      </c>
      <c r="E5" s="11" t="s">
        <v>94</v>
      </c>
      <c r="F5" s="49" t="s">
        <v>282</v>
      </c>
      <c r="G5" s="72" t="s">
        <v>91</v>
      </c>
      <c r="J5" s="153"/>
      <c r="K5" s="153"/>
    </row>
    <row r="6" spans="1:11" ht="137" customHeight="1" x14ac:dyDescent="0.2">
      <c r="A6" s="6">
        <v>5</v>
      </c>
      <c r="B6" s="6" t="s">
        <v>59</v>
      </c>
      <c r="C6" s="35" t="s">
        <v>283</v>
      </c>
      <c r="D6" s="35" t="s">
        <v>284</v>
      </c>
      <c r="E6" s="11" t="s">
        <v>95</v>
      </c>
      <c r="F6" s="49" t="s">
        <v>285</v>
      </c>
      <c r="G6" s="72" t="s">
        <v>91</v>
      </c>
    </row>
    <row r="7" spans="1:11" ht="124" customHeight="1" x14ac:dyDescent="0.2">
      <c r="A7" s="6">
        <v>6</v>
      </c>
      <c r="B7" s="6" t="s">
        <v>59</v>
      </c>
      <c r="C7" s="35" t="s">
        <v>286</v>
      </c>
      <c r="D7" s="35" t="s">
        <v>287</v>
      </c>
      <c r="E7" s="11" t="s">
        <v>96</v>
      </c>
      <c r="F7" s="49" t="s">
        <v>288</v>
      </c>
      <c r="G7" s="72" t="s">
        <v>91</v>
      </c>
    </row>
    <row r="8" spans="1:11" ht="178" customHeight="1" x14ac:dyDescent="0.2">
      <c r="A8" s="6">
        <v>7</v>
      </c>
      <c r="B8" s="75" t="s">
        <v>59</v>
      </c>
      <c r="C8" s="76" t="s">
        <v>289</v>
      </c>
      <c r="D8" s="76" t="s">
        <v>290</v>
      </c>
      <c r="E8" s="77" t="s">
        <v>97</v>
      </c>
      <c r="F8" s="49" t="s">
        <v>320</v>
      </c>
      <c r="G8" s="69"/>
    </row>
    <row r="9" spans="1:11" ht="138" customHeight="1" x14ac:dyDescent="0.2">
      <c r="A9" s="6">
        <v>8</v>
      </c>
      <c r="B9" s="6" t="s">
        <v>59</v>
      </c>
      <c r="C9" s="35" t="s">
        <v>291</v>
      </c>
      <c r="D9" s="35" t="s">
        <v>292</v>
      </c>
      <c r="E9" s="11" t="s">
        <v>98</v>
      </c>
      <c r="F9" s="49">
        <v>1</v>
      </c>
      <c r="G9" s="72" t="s">
        <v>91</v>
      </c>
    </row>
    <row r="10" spans="1:11" ht="116" customHeight="1" x14ac:dyDescent="0.2">
      <c r="A10" s="6">
        <v>9</v>
      </c>
      <c r="B10" s="6" t="s">
        <v>59</v>
      </c>
      <c r="C10" s="35" t="s">
        <v>293</v>
      </c>
      <c r="D10" s="35" t="s">
        <v>294</v>
      </c>
      <c r="E10" s="11" t="s">
        <v>99</v>
      </c>
      <c r="F10" s="49" t="s">
        <v>295</v>
      </c>
    </row>
    <row r="11" spans="1:11" ht="140" customHeight="1" x14ac:dyDescent="0.2">
      <c r="A11" s="6">
        <v>10</v>
      </c>
      <c r="B11" s="75" t="s">
        <v>59</v>
      </c>
      <c r="C11" s="76" t="s">
        <v>296</v>
      </c>
      <c r="D11" s="76" t="s">
        <v>297</v>
      </c>
      <c r="E11" s="75" t="s">
        <v>60</v>
      </c>
      <c r="F11" s="6" t="s">
        <v>166</v>
      </c>
      <c r="G11" s="73"/>
    </row>
    <row r="12" spans="1:11" ht="152" customHeight="1" x14ac:dyDescent="0.2">
      <c r="A12" s="6">
        <v>11</v>
      </c>
      <c r="B12" s="141" t="s">
        <v>59</v>
      </c>
      <c r="C12" s="142" t="s">
        <v>68</v>
      </c>
      <c r="D12" s="142" t="s">
        <v>69</v>
      </c>
      <c r="E12" s="143" t="s">
        <v>100</v>
      </c>
    </row>
    <row r="13" spans="1:11" ht="150" customHeight="1" x14ac:dyDescent="0.2">
      <c r="A13" s="6">
        <v>12</v>
      </c>
      <c r="B13" s="141" t="s">
        <v>59</v>
      </c>
      <c r="C13" s="142" t="s">
        <v>70</v>
      </c>
      <c r="D13" s="144"/>
      <c r="E13" s="141" t="s">
        <v>71</v>
      </c>
      <c r="F13" s="57" t="s">
        <v>166</v>
      </c>
      <c r="G13" s="78" t="s">
        <v>154</v>
      </c>
    </row>
    <row r="14" spans="1:11" ht="150" customHeight="1" x14ac:dyDescent="0.2">
      <c r="A14" s="6">
        <v>13</v>
      </c>
      <c r="B14" s="6" t="s">
        <v>59</v>
      </c>
      <c r="C14" s="35" t="s">
        <v>105</v>
      </c>
      <c r="D14" s="35" t="s">
        <v>104</v>
      </c>
      <c r="E14" s="6" t="s">
        <v>73</v>
      </c>
      <c r="F14" s="49" t="s">
        <v>298</v>
      </c>
    </row>
    <row r="15" spans="1:11" ht="157" customHeight="1" x14ac:dyDescent="0.2">
      <c r="A15" s="6">
        <v>14</v>
      </c>
      <c r="B15" s="141" t="s">
        <v>59</v>
      </c>
      <c r="C15" s="142" t="s">
        <v>74</v>
      </c>
      <c r="D15" s="142" t="s">
        <v>102</v>
      </c>
      <c r="E15" s="141" t="s">
        <v>103</v>
      </c>
      <c r="F15" s="48" t="s">
        <v>91</v>
      </c>
    </row>
    <row r="16" spans="1:11" ht="148" customHeight="1" x14ac:dyDescent="0.2">
      <c r="A16" s="6">
        <v>15</v>
      </c>
      <c r="B16" s="141" t="s">
        <v>59</v>
      </c>
      <c r="C16" s="142" t="s">
        <v>299</v>
      </c>
      <c r="D16" s="142" t="s">
        <v>300</v>
      </c>
      <c r="E16" s="141" t="s">
        <v>101</v>
      </c>
      <c r="F16" s="48" t="s">
        <v>91</v>
      </c>
    </row>
    <row r="17" spans="1:7" ht="131" customHeight="1" x14ac:dyDescent="0.2">
      <c r="A17" s="6">
        <v>16</v>
      </c>
      <c r="B17" s="6" t="s">
        <v>59</v>
      </c>
      <c r="C17" s="35" t="s">
        <v>156</v>
      </c>
      <c r="E17" s="6" t="s">
        <v>157</v>
      </c>
      <c r="F17" s="48" t="s">
        <v>91</v>
      </c>
    </row>
    <row r="19" spans="1:7" ht="191" customHeight="1" x14ac:dyDescent="0.2">
      <c r="A19" s="121">
        <v>17</v>
      </c>
      <c r="B19" s="121" t="s">
        <v>273</v>
      </c>
      <c r="C19" s="123" t="s">
        <v>269</v>
      </c>
      <c r="D19" s="123" t="s">
        <v>272</v>
      </c>
      <c r="E19" s="121" t="s">
        <v>268</v>
      </c>
      <c r="F19" s="121" t="s">
        <v>128</v>
      </c>
      <c r="G19" s="136" t="s">
        <v>270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E83D-8C5D-2842-98B3-0E67B45A9A7C}">
  <dimension ref="A1:H14"/>
  <sheetViews>
    <sheetView topLeftCell="A7" zoomScale="113" workbookViewId="0">
      <selection activeCell="D7" sqref="D7"/>
    </sheetView>
  </sheetViews>
  <sheetFormatPr baseColWidth="10" defaultColWidth="10.6640625" defaultRowHeight="16" x14ac:dyDescent="0.2"/>
  <cols>
    <col min="1" max="1" width="2.6640625" style="56" bestFit="1" customWidth="1"/>
    <col min="2" max="2" width="10.6640625" style="6"/>
    <col min="3" max="3" width="51.6640625" customWidth="1"/>
    <col min="4" max="4" width="53.83203125" customWidth="1"/>
    <col min="5" max="5" width="42.1640625" style="6" customWidth="1"/>
    <col min="6" max="6" width="38.1640625" customWidth="1"/>
    <col min="7" max="7" width="56.83203125" customWidth="1"/>
    <col min="8" max="8" width="51.33203125" customWidth="1"/>
    <col min="9" max="9" width="34" customWidth="1"/>
  </cols>
  <sheetData>
    <row r="1" spans="1:8" s="17" customFormat="1" x14ac:dyDescent="0.2">
      <c r="A1" s="21" t="s">
        <v>0</v>
      </c>
      <c r="B1" s="21" t="s">
        <v>46</v>
      </c>
      <c r="C1" s="22" t="s">
        <v>42</v>
      </c>
      <c r="D1" s="22" t="s">
        <v>44</v>
      </c>
      <c r="E1" s="23" t="s">
        <v>2</v>
      </c>
      <c r="F1" s="23" t="s">
        <v>117</v>
      </c>
      <c r="G1" s="70"/>
      <c r="H1" s="17" t="s">
        <v>66</v>
      </c>
    </row>
    <row r="2" spans="1:8" ht="173" customHeight="1" x14ac:dyDescent="0.2">
      <c r="A2" s="56">
        <v>1</v>
      </c>
      <c r="B2" s="6" t="s">
        <v>61</v>
      </c>
      <c r="C2" s="38" t="s">
        <v>147</v>
      </c>
      <c r="D2" s="38" t="s">
        <v>62</v>
      </c>
      <c r="E2" s="11" t="s">
        <v>114</v>
      </c>
      <c r="F2" s="71">
        <v>1</v>
      </c>
      <c r="G2" s="28"/>
    </row>
    <row r="3" spans="1:8" ht="113" customHeight="1" x14ac:dyDescent="0.2">
      <c r="A3" s="56">
        <v>2</v>
      </c>
      <c r="B3" s="6" t="s">
        <v>61</v>
      </c>
      <c r="C3" s="38" t="s">
        <v>148</v>
      </c>
      <c r="D3" s="38" t="s">
        <v>149</v>
      </c>
      <c r="E3" s="11" t="s">
        <v>115</v>
      </c>
      <c r="F3" s="78">
        <v>2</v>
      </c>
    </row>
    <row r="4" spans="1:8" ht="204" customHeight="1" x14ac:dyDescent="0.2">
      <c r="A4" s="56">
        <v>3</v>
      </c>
      <c r="B4" s="6" t="s">
        <v>61</v>
      </c>
      <c r="C4" s="38" t="s">
        <v>63</v>
      </c>
      <c r="D4" s="38" t="s">
        <v>64</v>
      </c>
      <c r="E4" s="11" t="s">
        <v>116</v>
      </c>
      <c r="F4" s="57">
        <v>1</v>
      </c>
    </row>
    <row r="5" spans="1:8" ht="123" customHeight="1" x14ac:dyDescent="0.2">
      <c r="A5" s="56">
        <v>4</v>
      </c>
      <c r="B5" s="6" t="s">
        <v>47</v>
      </c>
      <c r="C5" s="38" t="s">
        <v>126</v>
      </c>
      <c r="D5" s="38" t="s">
        <v>129</v>
      </c>
      <c r="E5" s="57" t="s">
        <v>127</v>
      </c>
      <c r="F5" s="57" t="s">
        <v>301</v>
      </c>
    </row>
    <row r="6" spans="1:8" ht="167" customHeight="1" x14ac:dyDescent="0.2">
      <c r="A6" s="56">
        <v>5</v>
      </c>
      <c r="C6" s="38" t="s">
        <v>150</v>
      </c>
      <c r="D6" s="38" t="s">
        <v>151</v>
      </c>
      <c r="E6" s="57" t="s">
        <v>130</v>
      </c>
      <c r="F6" s="57" t="s">
        <v>302</v>
      </c>
    </row>
    <row r="7" spans="1:8" s="84" customFormat="1" ht="167" customHeight="1" x14ac:dyDescent="0.2">
      <c r="A7" s="56">
        <v>6</v>
      </c>
      <c r="B7" s="75" t="s">
        <v>61</v>
      </c>
      <c r="C7" s="113" t="s">
        <v>171</v>
      </c>
      <c r="D7" s="76" t="s">
        <v>172</v>
      </c>
      <c r="E7" s="83" t="s">
        <v>152</v>
      </c>
      <c r="F7" s="83" t="s">
        <v>303</v>
      </c>
    </row>
    <row r="8" spans="1:8" ht="113" customHeight="1" x14ac:dyDescent="0.2">
      <c r="A8" s="56">
        <v>7</v>
      </c>
      <c r="C8" s="38" t="s">
        <v>131</v>
      </c>
      <c r="E8" s="6" t="s">
        <v>132</v>
      </c>
    </row>
    <row r="9" spans="1:8" ht="215" customHeight="1" x14ac:dyDescent="0.2">
      <c r="A9" s="56">
        <v>8</v>
      </c>
      <c r="B9" s="6" t="s">
        <v>48</v>
      </c>
      <c r="D9" s="38" t="s">
        <v>134</v>
      </c>
      <c r="E9" s="6" t="s">
        <v>133</v>
      </c>
    </row>
    <row r="12" spans="1:8" ht="18" x14ac:dyDescent="0.2">
      <c r="D12" s="58"/>
    </row>
    <row r="13" spans="1:8" ht="18" x14ac:dyDescent="0.2">
      <c r="D13" s="58"/>
    </row>
    <row r="14" spans="1:8" ht="18" x14ac:dyDescent="0.2">
      <c r="D14" s="5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BB07-F1C4-2049-925A-5203FA27746B}">
  <dimension ref="A1:E5"/>
  <sheetViews>
    <sheetView workbookViewId="0">
      <selection activeCell="B5" sqref="B5"/>
    </sheetView>
  </sheetViews>
  <sheetFormatPr baseColWidth="10" defaultRowHeight="16" x14ac:dyDescent="0.2"/>
  <cols>
    <col min="1" max="1" width="10.83203125" style="6"/>
    <col min="2" max="2" width="56.1640625" customWidth="1"/>
    <col min="3" max="3" width="63.5" customWidth="1"/>
    <col min="4" max="4" width="37.1640625" style="6" customWidth="1"/>
    <col min="5" max="5" width="34.5" customWidth="1"/>
  </cols>
  <sheetData>
    <row r="1" spans="1:5" s="46" customFormat="1" x14ac:dyDescent="0.2">
      <c r="A1" s="47" t="s">
        <v>20</v>
      </c>
      <c r="B1" s="46" t="s">
        <v>72</v>
      </c>
      <c r="C1" s="46" t="s">
        <v>44</v>
      </c>
      <c r="D1" s="47" t="s">
        <v>66</v>
      </c>
      <c r="E1" s="46" t="s">
        <v>117</v>
      </c>
    </row>
    <row r="2" spans="1:5" ht="247" customHeight="1" x14ac:dyDescent="0.2">
      <c r="A2" s="6">
        <v>1</v>
      </c>
      <c r="B2" s="38" t="s">
        <v>82</v>
      </c>
      <c r="C2" s="38" t="s">
        <v>84</v>
      </c>
      <c r="D2" s="6" t="s">
        <v>83</v>
      </c>
      <c r="E2" s="53" t="s">
        <v>91</v>
      </c>
    </row>
    <row r="3" spans="1:5" ht="245" customHeight="1" x14ac:dyDescent="0.2">
      <c r="A3" s="6">
        <v>2</v>
      </c>
      <c r="B3" s="38" t="s">
        <v>85</v>
      </c>
      <c r="C3" s="38" t="s">
        <v>86</v>
      </c>
      <c r="D3" s="11" t="s">
        <v>119</v>
      </c>
      <c r="E3" s="54" t="s">
        <v>118</v>
      </c>
    </row>
    <row r="4" spans="1:5" ht="238" x14ac:dyDescent="0.2">
      <c r="A4" s="6">
        <v>3</v>
      </c>
      <c r="B4" s="38" t="s">
        <v>87</v>
      </c>
      <c r="D4" s="6" t="s">
        <v>88</v>
      </c>
      <c r="E4" s="54" t="s">
        <v>120</v>
      </c>
    </row>
    <row r="5" spans="1:5" ht="153" x14ac:dyDescent="0.2">
      <c r="B5" s="38" t="s">
        <v>327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3BCE-548F-0745-A253-DCE42F8EF804}">
  <dimension ref="A1:E8"/>
  <sheetViews>
    <sheetView zoomScale="103" workbookViewId="0">
      <selection activeCell="C3" sqref="C3"/>
    </sheetView>
  </sheetViews>
  <sheetFormatPr baseColWidth="10" defaultRowHeight="16" x14ac:dyDescent="0.2"/>
  <cols>
    <col min="1" max="1" width="10.83203125" style="6"/>
    <col min="2" max="2" width="76.5" customWidth="1"/>
    <col min="3" max="3" width="69.33203125" customWidth="1"/>
    <col min="4" max="4" width="36" bestFit="1" customWidth="1"/>
    <col min="5" max="5" width="20.1640625" style="6" customWidth="1"/>
  </cols>
  <sheetData>
    <row r="1" spans="1:5" s="46" customFormat="1" x14ac:dyDescent="0.2">
      <c r="A1" s="47" t="s">
        <v>20</v>
      </c>
      <c r="B1" s="46" t="s">
        <v>72</v>
      </c>
      <c r="C1" s="46" t="s">
        <v>44</v>
      </c>
      <c r="D1" s="47" t="s">
        <v>66</v>
      </c>
      <c r="E1" s="47" t="s">
        <v>117</v>
      </c>
    </row>
    <row r="2" spans="1:5" ht="181" customHeight="1" x14ac:dyDescent="0.2">
      <c r="A2" s="6">
        <v>1</v>
      </c>
      <c r="B2" s="60" t="s">
        <v>136</v>
      </c>
      <c r="C2" s="60" t="s">
        <v>137</v>
      </c>
      <c r="D2" s="6" t="s">
        <v>138</v>
      </c>
      <c r="E2" s="63" t="s">
        <v>246</v>
      </c>
    </row>
    <row r="3" spans="1:5" ht="183" customHeight="1" x14ac:dyDescent="0.2">
      <c r="A3" s="6">
        <v>2</v>
      </c>
      <c r="B3" s="35" t="s">
        <v>140</v>
      </c>
      <c r="C3" s="5" t="s">
        <v>247</v>
      </c>
      <c r="D3" s="78" t="s">
        <v>139</v>
      </c>
    </row>
    <row r="5" spans="1:5" x14ac:dyDescent="0.2">
      <c r="C5" s="61"/>
    </row>
    <row r="6" spans="1:5" x14ac:dyDescent="0.2">
      <c r="C6" s="62"/>
    </row>
    <row r="7" spans="1:5" x14ac:dyDescent="0.2">
      <c r="C7" s="20"/>
    </row>
    <row r="8" spans="1:5" x14ac:dyDescent="0.2">
      <c r="C8" s="2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FD8C-5A14-D747-8C3D-12466179BEE2}">
  <dimension ref="A1:C3"/>
  <sheetViews>
    <sheetView zoomScale="90" zoomScaleNormal="90" workbookViewId="0">
      <selection activeCell="B3" sqref="B3"/>
    </sheetView>
  </sheetViews>
  <sheetFormatPr baseColWidth="10" defaultRowHeight="16" x14ac:dyDescent="0.2"/>
  <cols>
    <col min="2" max="2" width="87" bestFit="1" customWidth="1"/>
    <col min="3" max="3" width="39.5" bestFit="1" customWidth="1"/>
  </cols>
  <sheetData>
    <row r="1" spans="1:3" x14ac:dyDescent="0.2">
      <c r="A1" s="82" t="s">
        <v>20</v>
      </c>
      <c r="B1" s="82" t="s">
        <v>78</v>
      </c>
      <c r="C1" s="82" t="s">
        <v>66</v>
      </c>
    </row>
    <row r="2" spans="1:3" ht="167" customHeight="1" x14ac:dyDescent="0.2">
      <c r="A2" s="6">
        <v>1</v>
      </c>
      <c r="B2" s="35" t="s">
        <v>243</v>
      </c>
      <c r="C2" s="6" t="s">
        <v>205</v>
      </c>
    </row>
    <row r="3" spans="1:3" x14ac:dyDescent="0.2">
      <c r="A3">
        <v>2</v>
      </c>
      <c r="B3" t="s">
        <v>267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0CA6-40C5-734A-B11E-4E7DB62D956E}">
  <dimension ref="A1:P20"/>
  <sheetViews>
    <sheetView topLeftCell="A8" zoomScale="118" workbookViewId="0">
      <selection activeCell="C13" sqref="C13"/>
    </sheetView>
  </sheetViews>
  <sheetFormatPr baseColWidth="10" defaultRowHeight="16" x14ac:dyDescent="0.2"/>
  <cols>
    <col min="1" max="1" width="9.6640625" style="6" customWidth="1"/>
    <col min="2" max="2" width="112.33203125" style="13" customWidth="1"/>
    <col min="3" max="3" width="40.83203125" style="6" customWidth="1"/>
    <col min="4" max="4" width="14.6640625" style="6" customWidth="1"/>
    <col min="5" max="7" width="23.83203125" style="6" customWidth="1"/>
    <col min="8" max="8" width="16.5" style="6" bestFit="1" customWidth="1"/>
    <col min="9" max="9" width="14" style="6" bestFit="1" customWidth="1"/>
    <col min="10" max="10" width="12" style="6" bestFit="1" customWidth="1"/>
    <col min="11" max="11" width="23.5" style="6" bestFit="1" customWidth="1"/>
    <col min="12" max="12" width="23.1640625" style="6" bestFit="1" customWidth="1"/>
    <col min="13" max="13" width="57.1640625" style="6" bestFit="1" customWidth="1"/>
    <col min="14" max="14" width="22.83203125" style="6" bestFit="1" customWidth="1"/>
    <col min="15" max="15" width="23.1640625" style="6" bestFit="1" customWidth="1"/>
    <col min="16" max="16" width="24.6640625" style="6" bestFit="1" customWidth="1"/>
    <col min="17" max="16384" width="10.83203125" style="6"/>
  </cols>
  <sheetData>
    <row r="1" spans="1:16" s="8" customFormat="1" x14ac:dyDescent="0.2">
      <c r="A1" s="1" t="s">
        <v>0</v>
      </c>
      <c r="B1" s="9" t="s">
        <v>8</v>
      </c>
      <c r="C1" s="2" t="s">
        <v>2</v>
      </c>
    </row>
    <row r="2" spans="1:16" s="3" customFormat="1" ht="93" customHeight="1" x14ac:dyDescent="0.2">
      <c r="A2" s="4">
        <v>1</v>
      </c>
      <c r="B2" s="18" t="s">
        <v>3</v>
      </c>
      <c r="C2" s="19" t="s">
        <v>4</v>
      </c>
    </row>
    <row r="3" spans="1:16" ht="111" customHeight="1" x14ac:dyDescent="0.2">
      <c r="A3" s="4">
        <v>2</v>
      </c>
      <c r="B3" s="5" t="s">
        <v>9</v>
      </c>
      <c r="C3" s="6" t="s">
        <v>125</v>
      </c>
      <c r="D3" s="10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107" customHeight="1" x14ac:dyDescent="0.2">
      <c r="A4" s="4">
        <v>3</v>
      </c>
      <c r="B4" s="80" t="s">
        <v>167</v>
      </c>
      <c r="C4" s="11" t="s">
        <v>10</v>
      </c>
      <c r="D4" s="7"/>
      <c r="E4" s="7"/>
      <c r="F4" s="7"/>
      <c r="G4" s="7"/>
      <c r="H4" s="7"/>
      <c r="I4" s="7"/>
      <c r="J4" s="7"/>
      <c r="K4" s="7"/>
      <c r="L4" s="7"/>
      <c r="M4" s="7"/>
    </row>
    <row r="5" spans="1:16" ht="97" customHeight="1" x14ac:dyDescent="0.2">
      <c r="A5" s="4">
        <v>4</v>
      </c>
      <c r="B5" s="5" t="s">
        <v>11</v>
      </c>
      <c r="C5" s="6" t="s">
        <v>12</v>
      </c>
      <c r="D5" s="12"/>
      <c r="E5" s="14"/>
      <c r="F5" s="7"/>
      <c r="G5" s="7"/>
      <c r="H5" s="7"/>
      <c r="I5" s="7"/>
      <c r="J5" s="7"/>
      <c r="K5" s="7"/>
      <c r="L5" s="7"/>
      <c r="M5" s="7"/>
    </row>
    <row r="6" spans="1:16" ht="97" customHeight="1" x14ac:dyDescent="0.2">
      <c r="A6" s="4">
        <v>5</v>
      </c>
      <c r="B6" s="5" t="s">
        <v>18</v>
      </c>
      <c r="C6" s="6" t="s">
        <v>19</v>
      </c>
      <c r="D6" s="12"/>
      <c r="E6" s="7"/>
      <c r="F6" s="7"/>
      <c r="G6" s="7"/>
      <c r="H6" s="7"/>
      <c r="I6" s="7"/>
      <c r="J6" s="7"/>
      <c r="K6" s="7"/>
      <c r="L6" s="7"/>
      <c r="M6" s="7"/>
    </row>
    <row r="7" spans="1:16" ht="170" x14ac:dyDescent="0.2">
      <c r="A7" s="4">
        <v>6</v>
      </c>
      <c r="B7" s="5" t="s">
        <v>21</v>
      </c>
      <c r="C7" s="11" t="s">
        <v>13</v>
      </c>
      <c r="D7" s="7"/>
      <c r="E7" s="7"/>
      <c r="F7" s="7"/>
      <c r="G7" s="7"/>
      <c r="H7" s="7"/>
      <c r="I7" s="7"/>
      <c r="J7" s="7"/>
      <c r="K7" s="7"/>
      <c r="L7" s="7"/>
      <c r="M7" s="7"/>
    </row>
    <row r="8" spans="1:16" ht="104" customHeight="1" x14ac:dyDescent="0.2">
      <c r="A8" s="4">
        <v>7</v>
      </c>
      <c r="B8" s="5" t="s">
        <v>14</v>
      </c>
      <c r="C8" s="11" t="s">
        <v>15</v>
      </c>
      <c r="D8" s="7"/>
      <c r="E8" s="7"/>
      <c r="F8" s="7"/>
      <c r="G8" s="7"/>
      <c r="H8" s="7"/>
      <c r="I8" s="7"/>
      <c r="J8" s="7"/>
      <c r="K8" s="7"/>
      <c r="L8" s="7"/>
      <c r="M8" s="7"/>
    </row>
    <row r="9" spans="1:16" ht="141" customHeight="1" x14ac:dyDescent="0.2">
      <c r="A9" s="4">
        <v>8</v>
      </c>
      <c r="B9" s="5" t="s">
        <v>16</v>
      </c>
      <c r="C9" s="6" t="s">
        <v>17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 spans="1:16" ht="186" customHeight="1" x14ac:dyDescent="0.2">
      <c r="A10" s="4">
        <v>9</v>
      </c>
      <c r="B10" s="5" t="s">
        <v>25</v>
      </c>
      <c r="C10" s="6" t="s">
        <v>26</v>
      </c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6" ht="204" x14ac:dyDescent="0.2">
      <c r="A11" s="4">
        <v>10</v>
      </c>
      <c r="B11" s="29" t="s">
        <v>89</v>
      </c>
      <c r="D11" s="166">
        <f>200000/10000000</f>
        <v>0.02</v>
      </c>
      <c r="E11" s="7"/>
      <c r="F11" s="7"/>
      <c r="G11" s="7"/>
      <c r="H11" s="7"/>
      <c r="I11" s="7"/>
      <c r="J11" s="7"/>
      <c r="K11" s="7"/>
      <c r="L11" s="7"/>
      <c r="M11" s="7"/>
    </row>
    <row r="12" spans="1:16" ht="102" x14ac:dyDescent="0.2">
      <c r="A12" s="4">
        <v>11</v>
      </c>
      <c r="B12" s="96" t="s">
        <v>335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6" ht="169" customHeight="1" x14ac:dyDescent="0.2">
      <c r="A13" s="4">
        <v>12</v>
      </c>
      <c r="B13" s="5" t="s">
        <v>75</v>
      </c>
      <c r="C13" s="15" t="s">
        <v>76</v>
      </c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6" ht="388" x14ac:dyDescent="0.2">
      <c r="B14" s="85" t="s">
        <v>169</v>
      </c>
      <c r="C14" s="86" t="s">
        <v>146</v>
      </c>
      <c r="D14" s="7"/>
      <c r="E14" s="12"/>
      <c r="F14" s="7"/>
      <c r="G14" s="7"/>
      <c r="H14" s="7"/>
      <c r="I14" s="7"/>
      <c r="J14" s="7"/>
      <c r="K14" s="7"/>
      <c r="L14" s="7"/>
      <c r="M14" s="7"/>
    </row>
    <row r="15" spans="1:16" x14ac:dyDescent="0.2">
      <c r="D15" s="14"/>
      <c r="E15" s="7"/>
      <c r="F15" s="7"/>
      <c r="G15" s="7"/>
      <c r="H15" s="7"/>
      <c r="I15" s="7"/>
      <c r="J15" s="7"/>
      <c r="K15" s="7"/>
      <c r="L15" s="7"/>
      <c r="M15" s="7"/>
    </row>
    <row r="16" spans="1:16" x14ac:dyDescent="0.2"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4:13" x14ac:dyDescent="0.2"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4:13" x14ac:dyDescent="0.2">
      <c r="D18" s="7"/>
      <c r="E18" s="7"/>
      <c r="F18" s="7"/>
      <c r="G18" s="7"/>
      <c r="H18" s="7"/>
      <c r="I18" s="14"/>
      <c r="J18" s="7"/>
      <c r="K18" s="7"/>
      <c r="L18" s="7"/>
      <c r="M18" s="7"/>
    </row>
    <row r="19" spans="4:13" x14ac:dyDescent="0.2"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4:13" x14ac:dyDescent="0.2">
      <c r="D20" s="7"/>
      <c r="E20" s="7"/>
      <c r="F20" s="7"/>
      <c r="G20" s="7"/>
      <c r="H20" s="7"/>
      <c r="I20" s="7"/>
      <c r="J20" s="7"/>
      <c r="K20" s="7"/>
      <c r="L20" s="7"/>
      <c r="M20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BEB9D-67F8-2B4F-A9A4-4E6D215B1FC3}">
  <dimension ref="A1"/>
  <sheetViews>
    <sheetView workbookViewId="0">
      <selection activeCell="F29" sqref="F29"/>
    </sheetView>
  </sheetViews>
  <sheetFormatPr baseColWidth="10" defaultRowHeight="16" x14ac:dyDescent="0.2"/>
  <cols>
    <col min="1" max="1" width="17.16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Source data</vt:lpstr>
      <vt:lpstr>Missing Results</vt:lpstr>
      <vt:lpstr>Missing Rows</vt:lpstr>
      <vt:lpstr>Extra Rows</vt:lpstr>
      <vt:lpstr>High Value</vt:lpstr>
      <vt:lpstr>Company Profile</vt:lpstr>
      <vt:lpstr>Shareholding</vt:lpstr>
      <vt:lpstr>Price</vt:lpstr>
      <vt:lpstr>P&amp;L</vt:lpstr>
      <vt:lpstr>BS</vt:lpstr>
      <vt:lpstr>CF</vt:lpstr>
      <vt:lpstr>Segment</vt:lpstr>
      <vt:lpstr>EPS</vt:lpstr>
      <vt:lpstr>Index</vt:lpstr>
      <vt:lpstr>Analysis sql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5906</dc:creator>
  <cp:lastModifiedBy>5906</cp:lastModifiedBy>
  <dcterms:created xsi:type="dcterms:W3CDTF">2025-03-29T02:47:16Z</dcterms:created>
  <dcterms:modified xsi:type="dcterms:W3CDTF">2026-04-12T21:23:55Z</dcterms:modified>
</cp:coreProperties>
</file>